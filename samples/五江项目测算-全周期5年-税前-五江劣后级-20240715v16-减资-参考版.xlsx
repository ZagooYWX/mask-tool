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C:\Users\mashiyu\Desktop\五江项目\测算\"/>
    </mc:Choice>
  </mc:AlternateContent>
  <bookViews>
    <workbookView xWindow="-120" yWindow="-120" windowWidth="29040" windowHeight="15840" tabRatio="893" firstSheet="1" activeTab="1"/>
  </bookViews>
  <sheets>
    <sheet name="目录" sheetId="109" r:id="rId1"/>
    <sheet name="0基本假设 " sheetId="93" r:id="rId2"/>
    <sheet name="附表1 总投资估算表（汇总)" sheetId="94" r:id="rId3"/>
    <sheet name="附表1.1 总投资估算（明细）" sheetId="95" r:id="rId4"/>
    <sheet name="附表2 投资计划与资金筹措平衡表 " sheetId="96" r:id="rId5"/>
    <sheet name="附表3营业收入汇总表" sheetId="57" r:id="rId6"/>
    <sheet name="3.1销售情况分析" sheetId="100" r:id="rId7"/>
    <sheet name="3.2 营业收入汇总表" sheetId="107" r:id="rId8"/>
    <sheet name="附表4 税金及附加表" sheetId="6" r:id="rId9"/>
    <sheet name="附表5 运营成本汇总表" sheetId="58" r:id="rId10"/>
    <sheet name="5.1运营成本明细表" sheetId="101" r:id="rId11"/>
    <sheet name="附表6 资产折旧摊销表" sheetId="102" r:id="rId12"/>
    <sheet name="附表7 银行贷款还本付息表" sheetId="17" r:id="rId13"/>
    <sheet name="附表8 总成本估算表" sheetId="56" r:id="rId14"/>
    <sheet name="附表9利润表" sheetId="16" r:id="rId15"/>
    <sheet name="附表10 资金来源与运用表" sheetId="50" r:id="rId16"/>
    <sheet name="附表11 财务计划现金流量表" sheetId="18" r:id="rId17"/>
    <sheet name="附表12 项目全投资现金流量表" sheetId="38" r:id="rId18"/>
    <sheet name="附表13 项目资本金现金流量" sheetId="39" r:id="rId19"/>
    <sheet name="附表14 中信建设现金流量表（优先级）" sheetId="103" r:id="rId20"/>
    <sheet name="附表15中信金资现金流量表（中间级）" sheetId="108" r:id="rId21"/>
    <sheet name="附表16五江现金流量表（劣后级）" sheetId="110" r:id="rId22"/>
  </sheets>
  <definedNames>
    <definedName name="_" localSheetId="6">#REF!</definedName>
    <definedName name="_" localSheetId="10">#REF!</definedName>
    <definedName name="_" localSheetId="20">#REF!</definedName>
    <definedName name="_" localSheetId="11">#REF!</definedName>
    <definedName name="_">#REF!</definedName>
    <definedName name="_?" localSheetId="6">#REF!</definedName>
    <definedName name="_?" localSheetId="10">#REF!</definedName>
    <definedName name="_?" localSheetId="20">#REF!</definedName>
    <definedName name="_?" localSheetId="11">#REF!</definedName>
    <definedName name="_?">#REF!</definedName>
    <definedName name="_??????" localSheetId="6">#REF!</definedName>
    <definedName name="_??????" localSheetId="10">#REF!</definedName>
    <definedName name="_??????" localSheetId="20">#REF!</definedName>
    <definedName name="_??????" localSheetId="11">#REF!</definedName>
    <definedName name="_??????">#REF!</definedName>
    <definedName name="__FDS_HYPERLINK_TOGGLE_STATE__" hidden="1">"ON"</definedName>
    <definedName name="__xlfn.IFERROR" hidden="1">#NAME?</definedName>
    <definedName name="_2_?" localSheetId="6">#REF!</definedName>
    <definedName name="_2_?" localSheetId="10">#REF!</definedName>
    <definedName name="_2_?" localSheetId="20">#REF!</definedName>
    <definedName name="_2_?" localSheetId="11">#REF!</definedName>
    <definedName name="_2_?">#REF!</definedName>
    <definedName name="_3_?" localSheetId="6">#REF!</definedName>
    <definedName name="_3_?" localSheetId="10">#REF!</definedName>
    <definedName name="_3_?" localSheetId="20">#REF!</definedName>
    <definedName name="_3_?" localSheetId="11">#REF!</definedName>
    <definedName name="_3_?">#REF!</definedName>
    <definedName name="_4_??????" localSheetId="6">#REF!</definedName>
    <definedName name="_4_??????" localSheetId="10">#REF!</definedName>
    <definedName name="_4_??????" localSheetId="20">#REF!</definedName>
    <definedName name="_4_??????" localSheetId="11">#REF!</definedName>
    <definedName name="_4_??????">#REF!</definedName>
    <definedName name="_6_??????" localSheetId="6">#REF!</definedName>
    <definedName name="_6_??????" localSheetId="10">#REF!</definedName>
    <definedName name="_6_??????" localSheetId="20">#REF!</definedName>
    <definedName name="_6_??????" localSheetId="11">#REF!</definedName>
    <definedName name="_6_??????">#REF!</definedName>
    <definedName name="_8_8" localSheetId="6">EVALUATE+#REF!</definedName>
    <definedName name="_8_8" localSheetId="10">EVALUATE+#REF!</definedName>
    <definedName name="_8_8" localSheetId="20">EVALUATE+#REF!</definedName>
    <definedName name="_8_8" localSheetId="11">EVALUATE+#REF!</definedName>
    <definedName name="_8_8">EVALUATE+#REF!</definedName>
    <definedName name="_8_9" localSheetId="6">EVALUATE+#REF!</definedName>
    <definedName name="_8_9" localSheetId="10">EVALUATE+#REF!</definedName>
    <definedName name="_8_9" localSheetId="20">EVALUATE+#REF!</definedName>
    <definedName name="_8_9" localSheetId="11">EVALUATE+#REF!</definedName>
    <definedName name="_8_9">EVALUATE+#REF!</definedName>
    <definedName name="_999年12月31日股份应收帐款.dbf" localSheetId="6">#REF!</definedName>
    <definedName name="_999年12月31日股份应收帐款.dbf" localSheetId="10">#REF!</definedName>
    <definedName name="_999年12月31日股份应收帐款.dbf" localSheetId="20">#REF!</definedName>
    <definedName name="_999年12月31日股份应收帐款.dbf" localSheetId="11">#REF!</definedName>
    <definedName name="_999年12月31日股份应收帐款.dbf">#REF!</definedName>
    <definedName name="_aaa1" localSheetId="6">#REF!</definedName>
    <definedName name="_aaa1" localSheetId="10">#REF!</definedName>
    <definedName name="_aaa1" localSheetId="20">#REF!</definedName>
    <definedName name="_aaa1" localSheetId="11">#REF!</definedName>
    <definedName name="_aaa1">#REF!</definedName>
    <definedName name="_aaa2" localSheetId="6">#REF!</definedName>
    <definedName name="_aaa2" localSheetId="10">#REF!</definedName>
    <definedName name="_aaa2" localSheetId="20">#REF!</definedName>
    <definedName name="_aaa2" localSheetId="11">#REF!</definedName>
    <definedName name="_aaa2">#REF!</definedName>
    <definedName name="_AOp43" localSheetId="6">#REF!</definedName>
    <definedName name="_AOp43" localSheetId="10">#REF!</definedName>
    <definedName name="_AOp43" localSheetId="20">#REF!</definedName>
    <definedName name="_AOp43" localSheetId="11">#REF!</definedName>
    <definedName name="_AOp43">#REF!</definedName>
    <definedName name="_APr44" localSheetId="6">#REF!</definedName>
    <definedName name="_APr44" localSheetId="10">#REF!</definedName>
    <definedName name="_APr44" localSheetId="20">#REF!</definedName>
    <definedName name="_APr44" localSheetId="11">#REF!</definedName>
    <definedName name="_APr44">#REF!</definedName>
    <definedName name="_dat01" localSheetId="6">#REF!</definedName>
    <definedName name="_dat01" localSheetId="10">#REF!</definedName>
    <definedName name="_dat01" localSheetId="20">#REF!</definedName>
    <definedName name="_dat01" localSheetId="11">#REF!</definedName>
    <definedName name="_dat01">#REF!</definedName>
    <definedName name="_DAT1" localSheetId="6">#REF!</definedName>
    <definedName name="_DAT1" localSheetId="10">#REF!</definedName>
    <definedName name="_DAT1" localSheetId="20">#REF!</definedName>
    <definedName name="_DAT1" localSheetId="11">#REF!</definedName>
    <definedName name="_DAT1">#REF!</definedName>
    <definedName name="_DAT10" localSheetId="6">#REF!</definedName>
    <definedName name="_DAT10" localSheetId="10">#REF!</definedName>
    <definedName name="_DAT10" localSheetId="20">#REF!</definedName>
    <definedName name="_DAT10" localSheetId="11">#REF!</definedName>
    <definedName name="_DAT10">#REF!</definedName>
    <definedName name="_DAT11" localSheetId="6">#REF!</definedName>
    <definedName name="_DAT11" localSheetId="10">#REF!</definedName>
    <definedName name="_DAT11" localSheetId="20">#REF!</definedName>
    <definedName name="_DAT11" localSheetId="11">#REF!</definedName>
    <definedName name="_DAT11">#REF!</definedName>
    <definedName name="_DAT12" localSheetId="6">#REF!</definedName>
    <definedName name="_DAT12" localSheetId="10">#REF!</definedName>
    <definedName name="_DAT12" localSheetId="20">#REF!</definedName>
    <definedName name="_DAT12" localSheetId="11">#REF!</definedName>
    <definedName name="_DAT12">#REF!</definedName>
    <definedName name="_DAT13" localSheetId="6">#REF!</definedName>
    <definedName name="_DAT13" localSheetId="10">#REF!</definedName>
    <definedName name="_DAT13" localSheetId="20">#REF!</definedName>
    <definedName name="_DAT13" localSheetId="11">#REF!</definedName>
    <definedName name="_DAT13">#REF!</definedName>
    <definedName name="_DAT14" localSheetId="6">#REF!</definedName>
    <definedName name="_DAT14" localSheetId="10">#REF!</definedName>
    <definedName name="_DAT14" localSheetId="20">#REF!</definedName>
    <definedName name="_DAT14" localSheetId="11">#REF!</definedName>
    <definedName name="_DAT14">#REF!</definedName>
    <definedName name="_DAT15" localSheetId="6">#REF!</definedName>
    <definedName name="_DAT15" localSheetId="10">#REF!</definedName>
    <definedName name="_DAT15" localSheetId="20">#REF!</definedName>
    <definedName name="_DAT15" localSheetId="11">#REF!</definedName>
    <definedName name="_DAT15">#REF!</definedName>
    <definedName name="_DAT16" localSheetId="6">#REF!</definedName>
    <definedName name="_DAT16" localSheetId="10">#REF!</definedName>
    <definedName name="_DAT16" localSheetId="20">#REF!</definedName>
    <definedName name="_DAT16" localSheetId="11">#REF!</definedName>
    <definedName name="_DAT16">#REF!</definedName>
    <definedName name="_DAT17" localSheetId="6">#REF!</definedName>
    <definedName name="_DAT17" localSheetId="10">#REF!</definedName>
    <definedName name="_DAT17" localSheetId="20">#REF!</definedName>
    <definedName name="_DAT17" localSheetId="11">#REF!</definedName>
    <definedName name="_DAT17">#REF!</definedName>
    <definedName name="_DAT18" localSheetId="6">#REF!</definedName>
    <definedName name="_DAT18" localSheetId="10">#REF!</definedName>
    <definedName name="_DAT18" localSheetId="20">#REF!</definedName>
    <definedName name="_DAT18" localSheetId="11">#REF!</definedName>
    <definedName name="_DAT18">#REF!</definedName>
    <definedName name="_DAT19" localSheetId="6">#REF!</definedName>
    <definedName name="_DAT19" localSheetId="10">#REF!</definedName>
    <definedName name="_DAT19" localSheetId="20">#REF!</definedName>
    <definedName name="_DAT19" localSheetId="11">#REF!</definedName>
    <definedName name="_DAT19">#REF!</definedName>
    <definedName name="_DAT2" localSheetId="6">#REF!</definedName>
    <definedName name="_DAT2" localSheetId="10">#REF!</definedName>
    <definedName name="_DAT2" localSheetId="20">#REF!</definedName>
    <definedName name="_DAT2" localSheetId="11">#REF!</definedName>
    <definedName name="_DAT2">#REF!</definedName>
    <definedName name="_DAT20" localSheetId="6">#REF!</definedName>
    <definedName name="_DAT20" localSheetId="10">#REF!</definedName>
    <definedName name="_DAT20" localSheetId="20">#REF!</definedName>
    <definedName name="_DAT20" localSheetId="11">#REF!</definedName>
    <definedName name="_DAT20">#REF!</definedName>
    <definedName name="_DAT21" localSheetId="6">#REF!</definedName>
    <definedName name="_DAT21" localSheetId="10">#REF!</definedName>
    <definedName name="_DAT21" localSheetId="20">#REF!</definedName>
    <definedName name="_DAT21" localSheetId="11">#REF!</definedName>
    <definedName name="_DAT21">#REF!</definedName>
    <definedName name="_DAT22" localSheetId="6">#REF!</definedName>
    <definedName name="_DAT22" localSheetId="10">#REF!</definedName>
    <definedName name="_DAT22" localSheetId="20">#REF!</definedName>
    <definedName name="_DAT22" localSheetId="11">#REF!</definedName>
    <definedName name="_DAT22">#REF!</definedName>
    <definedName name="_DAT23" localSheetId="6">#REF!</definedName>
    <definedName name="_DAT23" localSheetId="10">#REF!</definedName>
    <definedName name="_DAT23" localSheetId="20">#REF!</definedName>
    <definedName name="_DAT23" localSheetId="11">#REF!</definedName>
    <definedName name="_DAT23">#REF!</definedName>
    <definedName name="_DAT24" localSheetId="6">#REF!</definedName>
    <definedName name="_DAT24" localSheetId="10">#REF!</definedName>
    <definedName name="_DAT24" localSheetId="20">#REF!</definedName>
    <definedName name="_DAT24" localSheetId="11">#REF!</definedName>
    <definedName name="_DAT24">#REF!</definedName>
    <definedName name="_DAT25" localSheetId="6">#REF!</definedName>
    <definedName name="_DAT25" localSheetId="10">#REF!</definedName>
    <definedName name="_DAT25" localSheetId="20">#REF!</definedName>
    <definedName name="_DAT25" localSheetId="11">#REF!</definedName>
    <definedName name="_DAT25">#REF!</definedName>
    <definedName name="_DAT26" localSheetId="6">#REF!</definedName>
    <definedName name="_DAT26" localSheetId="10">#REF!</definedName>
    <definedName name="_DAT26" localSheetId="20">#REF!</definedName>
    <definedName name="_DAT26" localSheetId="11">#REF!</definedName>
    <definedName name="_DAT26">#REF!</definedName>
    <definedName name="_DAT27" localSheetId="6">#REF!</definedName>
    <definedName name="_DAT27" localSheetId="10">#REF!</definedName>
    <definedName name="_DAT27" localSheetId="20">#REF!</definedName>
    <definedName name="_DAT27" localSheetId="11">#REF!</definedName>
    <definedName name="_DAT27">#REF!</definedName>
    <definedName name="_DAT28" localSheetId="6">#REF!</definedName>
    <definedName name="_DAT28" localSheetId="10">#REF!</definedName>
    <definedName name="_DAT28" localSheetId="20">#REF!</definedName>
    <definedName name="_DAT28" localSheetId="11">#REF!</definedName>
    <definedName name="_DAT28">#REF!</definedName>
    <definedName name="_DAT29" localSheetId="6">#REF!</definedName>
    <definedName name="_DAT29" localSheetId="10">#REF!</definedName>
    <definedName name="_DAT29" localSheetId="20">#REF!</definedName>
    <definedName name="_DAT29" localSheetId="11">#REF!</definedName>
    <definedName name="_DAT29">#REF!</definedName>
    <definedName name="_DAT3" localSheetId="6">#REF!</definedName>
    <definedName name="_DAT3" localSheetId="10">#REF!</definedName>
    <definedName name="_DAT3" localSheetId="20">#REF!</definedName>
    <definedName name="_DAT3" localSheetId="11">#REF!</definedName>
    <definedName name="_DAT3">#REF!</definedName>
    <definedName name="_DAT4" localSheetId="6">#REF!</definedName>
    <definedName name="_DAT4" localSheetId="10">#REF!</definedName>
    <definedName name="_DAT4" localSheetId="20">#REF!</definedName>
    <definedName name="_DAT4" localSheetId="11">#REF!</definedName>
    <definedName name="_DAT4">#REF!</definedName>
    <definedName name="_DAT5" localSheetId="6">#REF!</definedName>
    <definedName name="_DAT5" localSheetId="10">#REF!</definedName>
    <definedName name="_DAT5" localSheetId="20">#REF!</definedName>
    <definedName name="_DAT5" localSheetId="11">#REF!</definedName>
    <definedName name="_DAT5">#REF!</definedName>
    <definedName name="_DAT6" localSheetId="6">#REF!</definedName>
    <definedName name="_DAT6" localSheetId="10">#REF!</definedName>
    <definedName name="_DAT6" localSheetId="20">#REF!</definedName>
    <definedName name="_DAT6" localSheetId="11">#REF!</definedName>
    <definedName name="_DAT6">#REF!</definedName>
    <definedName name="_DAT7" localSheetId="6">#REF!</definedName>
    <definedName name="_DAT7" localSheetId="10">#REF!</definedName>
    <definedName name="_DAT7" localSheetId="20">#REF!</definedName>
    <definedName name="_DAT7" localSheetId="11">#REF!</definedName>
    <definedName name="_DAT7">#REF!</definedName>
    <definedName name="_DAT8" localSheetId="6">#REF!</definedName>
    <definedName name="_DAT8" localSheetId="10">#REF!</definedName>
    <definedName name="_DAT8" localSheetId="20">#REF!</definedName>
    <definedName name="_DAT8" localSheetId="11">#REF!</definedName>
    <definedName name="_DAT8">#REF!</definedName>
    <definedName name="_DAT9" localSheetId="6">#REF!</definedName>
    <definedName name="_DAT9" localSheetId="10">#REF!</definedName>
    <definedName name="_DAT9" localSheetId="20">#REF!</definedName>
    <definedName name="_DAT9" localSheetId="11">#REF!</definedName>
    <definedName name="_DAT9">#REF!</definedName>
    <definedName name="_DDDDDDDD" localSheetId="6">#REF!</definedName>
    <definedName name="_DDDDDDDD" localSheetId="10">#REF!</definedName>
    <definedName name="_DDDDDDDD" localSheetId="20">#REF!</definedName>
    <definedName name="_DDDDDDDD" localSheetId="11">#REF!</definedName>
    <definedName name="_DDDDDDDD">#REF!</definedName>
    <definedName name="_je2" localSheetId="6">#REF!</definedName>
    <definedName name="_je2" localSheetId="10">#REF!</definedName>
    <definedName name="_je2" localSheetId="20">#REF!</definedName>
    <definedName name="_je2" localSheetId="11">#REF!</definedName>
    <definedName name="_je2">#REF!</definedName>
    <definedName name="_km2" localSheetId="6">#REF!</definedName>
    <definedName name="_km2" localSheetId="10">#REF!</definedName>
    <definedName name="_km2" localSheetId="20">#REF!</definedName>
    <definedName name="_km2" localSheetId="11">#REF!</definedName>
    <definedName name="_km2">#REF!</definedName>
    <definedName name="_TWT1" localSheetId="6">#REF!</definedName>
    <definedName name="_TWT1" localSheetId="10">#REF!</definedName>
    <definedName name="_TWT1" localSheetId="20">#REF!</definedName>
    <definedName name="_TWT1" localSheetId="11">#REF!</definedName>
    <definedName name="_TWT1">#REF!</definedName>
    <definedName name="_we1" localSheetId="6">#REF!</definedName>
    <definedName name="_we1" localSheetId="10">#REF!</definedName>
    <definedName name="_we1" localSheetId="20">#REF!</definedName>
    <definedName name="_we1" localSheetId="11">#REF!</definedName>
    <definedName name="_we1">#REF!</definedName>
    <definedName name="_we2" localSheetId="6">#REF!</definedName>
    <definedName name="_we2" localSheetId="10">#REF!</definedName>
    <definedName name="_we2" localSheetId="20">#REF!</definedName>
    <definedName name="_we2" localSheetId="11">#REF!</definedName>
    <definedName name="_we2">#REF!</definedName>
    <definedName name="_工程名称" localSheetId="11">#REF!</definedName>
    <definedName name="_工程名称">#REF!</definedName>
    <definedName name="·" hidden="1">{#N/A,#N/A,FALSE,"Aging Summary";#N/A,#N/A,FALSE,"Ratio Analysis";#N/A,#N/A,FALSE,"Test 120 Day Accts";#N/A,#N/A,FALSE,"Tickmarks"}</definedName>
    <definedName name="a" localSheetId="6">#REF!</definedName>
    <definedName name="a" localSheetId="10">#REF!</definedName>
    <definedName name="a" localSheetId="20">#REF!</definedName>
    <definedName name="a" localSheetId="11">#REF!</definedName>
    <definedName name="a">#REF!</definedName>
    <definedName name="a_b_c" localSheetId="6">EVALUATE+#REF!</definedName>
    <definedName name="a_b_c" localSheetId="10">EVALUATE+#REF!</definedName>
    <definedName name="a_b_c" localSheetId="20">EVALUATE+#REF!</definedName>
    <definedName name="a_b_c" localSheetId="11">EVALUATE+#REF!</definedName>
    <definedName name="a_b_c">EVALUATE+#REF!</definedName>
    <definedName name="AA" localSheetId="11">#REF!</definedName>
    <definedName name="AA">#REF!</definedName>
    <definedName name="aaa" localSheetId="6">#REF!</definedName>
    <definedName name="aaa" localSheetId="10">#REF!</definedName>
    <definedName name="aaa" localSheetId="20">#REF!</definedName>
    <definedName name="aaa" localSheetId="11">#REF!</definedName>
    <definedName name="aaa">#REF!</definedName>
    <definedName name="aaaa" localSheetId="6">#REF!</definedName>
    <definedName name="aaaa" localSheetId="10">#REF!</definedName>
    <definedName name="aaaa" localSheetId="20">#REF!</definedName>
    <definedName name="aaaa" localSheetId="11">#REF!</definedName>
    <definedName name="aaaa">#REF!</definedName>
    <definedName name="aaaaaa" localSheetId="6">#REF!</definedName>
    <definedName name="aaaaaa" localSheetId="10">#REF!</definedName>
    <definedName name="aaaaaa" localSheetId="20">#REF!</definedName>
    <definedName name="aaaaaa" localSheetId="11">#REF!</definedName>
    <definedName name="aaaaaa">#REF!</definedName>
    <definedName name="aaaaaaa" localSheetId="6">#REF!</definedName>
    <definedName name="aaaaaaa" localSheetId="10">#REF!</definedName>
    <definedName name="aaaaaaa" localSheetId="20">#REF!</definedName>
    <definedName name="aaaaaaa" localSheetId="11">#REF!</definedName>
    <definedName name="aaaaaaa">#REF!</definedName>
    <definedName name="aaaaaaaa" localSheetId="6">#REF!</definedName>
    <definedName name="aaaaaaaa" localSheetId="10">#REF!</definedName>
    <definedName name="aaaaaaaa" localSheetId="20">#REF!</definedName>
    <definedName name="aaaaaaaa" localSheetId="11">#REF!</definedName>
    <definedName name="aaaaaaaa">#REF!</definedName>
    <definedName name="aaaaaaaaaaa" localSheetId="6">#REF!</definedName>
    <definedName name="aaaaaaaaaaa" localSheetId="10">#REF!</definedName>
    <definedName name="aaaaaaaaaaa" localSheetId="20">#REF!</definedName>
    <definedName name="aaaaaaaaaaa" localSheetId="11">#REF!</definedName>
    <definedName name="aaaaaaaaaaa">#REF!</definedName>
    <definedName name="aaaaaaaaaaaaaa" localSheetId="6">#REF!</definedName>
    <definedName name="aaaaaaaaaaaaaa" localSheetId="10">#REF!</definedName>
    <definedName name="aaaaaaaaaaaaaa" localSheetId="20">#REF!</definedName>
    <definedName name="aaaaaaaaaaaaaa" localSheetId="11">#REF!</definedName>
    <definedName name="aaaaaaaaaaaaaa">#REF!</definedName>
    <definedName name="aaaaaaaaaaaaaaaa" localSheetId="6">#REF!</definedName>
    <definedName name="aaaaaaaaaaaaaaaa" localSheetId="10">#REF!</definedName>
    <definedName name="aaaaaaaaaaaaaaaa" localSheetId="20">#REF!</definedName>
    <definedName name="aaaaaaaaaaaaaaaa" localSheetId="11">#REF!</definedName>
    <definedName name="aaaaaaaaaaaaaaaa">#REF!</definedName>
    <definedName name="aab" localSheetId="6">#REF!</definedName>
    <definedName name="aab" localSheetId="10">#REF!</definedName>
    <definedName name="aab" localSheetId="20">#REF!</definedName>
    <definedName name="aab" localSheetId="11">#REF!</definedName>
    <definedName name="aab">#REF!</definedName>
    <definedName name="ab." hidden="1">{#N/A,#N/A,FALSE,"资产负债表";#N/A,#N/A,FALSE,"资产负债表"}</definedName>
    <definedName name="abc" localSheetId="6">#REF!</definedName>
    <definedName name="abc" localSheetId="10">#REF!</definedName>
    <definedName name="abc" localSheetId="20">#REF!</definedName>
    <definedName name="abc" localSheetId="11">#REF!</definedName>
    <definedName name="abc">#REF!</definedName>
    <definedName name="ABCD" localSheetId="6">#REF!</definedName>
    <definedName name="ABCD" localSheetId="10">#REF!</definedName>
    <definedName name="ABCD" localSheetId="20">#REF!</definedName>
    <definedName name="ABCD" localSheetId="11">#REF!</definedName>
    <definedName name="ABCD">#REF!</definedName>
    <definedName name="ABCDE" localSheetId="6">#REF!</definedName>
    <definedName name="ABCDE" localSheetId="10">#REF!</definedName>
    <definedName name="ABCDE" localSheetId="20">#REF!</definedName>
    <definedName name="ABCDE" localSheetId="11">#REF!</definedName>
    <definedName name="ABCDE">#REF!</definedName>
    <definedName name="AC" localSheetId="6">#REF!</definedName>
    <definedName name="AC" localSheetId="10">#REF!</definedName>
    <definedName name="AC" localSheetId="20">#REF!</definedName>
    <definedName name="AC" localSheetId="11">#REF!</definedName>
    <definedName name="AC">#REF!</definedName>
    <definedName name="ACLEARC" localSheetId="6">#REF!</definedName>
    <definedName name="ACLEARC" localSheetId="10">#REF!</definedName>
    <definedName name="ACLEARC" localSheetId="20">#REF!</definedName>
    <definedName name="ACLEARC" localSheetId="11">#REF!</definedName>
    <definedName name="ACLEARC">#REF!</definedName>
    <definedName name="AD" localSheetId="6">#REF!,#REF!</definedName>
    <definedName name="AD" localSheetId="10">#REF!,#REF!</definedName>
    <definedName name="AD" localSheetId="20">#REF!,#REF!</definedName>
    <definedName name="AD" localSheetId="11">#REF!,#REF!</definedName>
    <definedName name="AD">#REF!,#REF!</definedName>
    <definedName name="ads" hidden="1">{#N/A,#N/A,FALSE,"Aging Summary";#N/A,#N/A,FALSE,"Ratio Analysis";#N/A,#N/A,FALSE,"Test 120 Day Accts";#N/A,#N/A,FALSE,"Tickmarks"}</definedName>
    <definedName name="AS2DocOpenMode" hidden="1">"AS2DocumentEdit"</definedName>
    <definedName name="AS2NamedRange" hidden="1">15</definedName>
    <definedName name="AS2ReportLS" hidden="1">2</definedName>
    <definedName name="AS2SyncStepLS" hidden="1">3</definedName>
    <definedName name="AS2VersionLS" hidden="1">220</definedName>
    <definedName name="asdf" hidden="1">{#N/A,#N/A,FALSE,"Aging Summary";#N/A,#N/A,FALSE,"Ratio Analysis";#N/A,#N/A,FALSE,"Test 120 Day Accts";#N/A,#N/A,FALSE,"Tickmarks"}</definedName>
    <definedName name="asdfas" hidden="1">{#N/A,#N/A,FALSE,"Aging Summary";#N/A,#N/A,FALSE,"Ratio Analysis";#N/A,#N/A,FALSE,"Test 120 Day Accts";#N/A,#N/A,FALSE,"Tickmarks"}</definedName>
    <definedName name="asdfasd" localSheetId="11">#REF!</definedName>
    <definedName name="asdfasd">#REF!</definedName>
    <definedName name="asdflkjasd" hidden="1">{#N/A,#N/A,FALSE,"Aging Summary";#N/A,#N/A,FALSE,"Ratio Analysis";#N/A,#N/A,FALSE,"Test 120 Day Accts";#N/A,#N/A,FALSE,"Tickmarks"}</definedName>
    <definedName name="asv" localSheetId="6">#REF!</definedName>
    <definedName name="asv" localSheetId="10">#REF!</definedName>
    <definedName name="asv" localSheetId="20">#REF!</definedName>
    <definedName name="asv" localSheetId="11">#REF!</definedName>
    <definedName name="asv">#REF!</definedName>
    <definedName name="A版本" localSheetId="20">#REF!</definedName>
    <definedName name="A版本" localSheetId="11">#REF!</definedName>
    <definedName name="A版本">#REF!</definedName>
    <definedName name="A产品">#REF!</definedName>
    <definedName name="A产品分析售价" localSheetId="6">OFFSET(#REF!,0,MATCH(#REF!,A产品类型,0),1,1)</definedName>
    <definedName name="A产品分析售价" localSheetId="10">OFFSET(#REF!,0,MATCH(#REF!,A产品类型,0),1,1)</definedName>
    <definedName name="A产品分析售价" localSheetId="11">OFFSET(#REF!,0,MATCH(#REF!,[0]!A产品类型,0),1,1)</definedName>
    <definedName name="A产品分析售价">OFFSET(#REF!,0,MATCH(#REF!,A产品类型,0),1,1)</definedName>
    <definedName name="A产品类型" localSheetId="11">#REF!</definedName>
    <definedName name="A产品类型">#REF!</definedName>
    <definedName name="A地块名称" localSheetId="11">#REF!</definedName>
    <definedName name="A地块名称">#REF!</definedName>
    <definedName name="A合并组" localSheetId="20">#REF!</definedName>
    <definedName name="A合并组" localSheetId="11">#REF!</definedName>
    <definedName name="A合并组">#REF!</definedName>
    <definedName name="A会计年度期间" localSheetId="20">#REF!</definedName>
    <definedName name="A会计年度期间" localSheetId="11">#REF!</definedName>
    <definedName name="A会计年度期间">#REF!</definedName>
    <definedName name="a起拍价" localSheetId="6">#REF!</definedName>
    <definedName name="a起拍价" localSheetId="10">#REF!</definedName>
    <definedName name="a起拍价" localSheetId="20">#REF!</definedName>
    <definedName name="a起拍价" localSheetId="11">#REF!</definedName>
    <definedName name="a起拍价">#REF!</definedName>
    <definedName name="A日历年季度" localSheetId="20">#REF!</definedName>
    <definedName name="A日历年季度" localSheetId="11">#REF!</definedName>
    <definedName name="A日历年季度">#REF!</definedName>
    <definedName name="A项目" localSheetId="20">#REF!</definedName>
    <definedName name="A项目" localSheetId="11">#REF!</definedName>
    <definedName name="A项目">#REF!</definedName>
    <definedName name="B" localSheetId="6">#REF!</definedName>
    <definedName name="B" localSheetId="10">#REF!</definedName>
    <definedName name="B" localSheetId="20">#REF!</definedName>
    <definedName name="B" localSheetId="11">#REF!</definedName>
    <definedName name="B">#REF!</definedName>
    <definedName name="bb" localSheetId="20">#REF!</definedName>
    <definedName name="bb" localSheetId="11">#REF!</definedName>
    <definedName name="bb">#REF!</definedName>
    <definedName name="bl" localSheetId="6">#REF!</definedName>
    <definedName name="bl" localSheetId="10">#REF!</definedName>
    <definedName name="bl" localSheetId="20">#REF!</definedName>
    <definedName name="bl" localSheetId="11">#REF!</definedName>
    <definedName name="bl">#REF!</definedName>
    <definedName name="BudgetYear" localSheetId="6">#REF!</definedName>
    <definedName name="BudgetYear" localSheetId="10">#REF!</definedName>
    <definedName name="BudgetYear" localSheetId="20">#REF!</definedName>
    <definedName name="BudgetYear" localSheetId="11">#REF!</definedName>
    <definedName name="BudgetYear">#REF!</definedName>
    <definedName name="BudgetYearRange" localSheetId="6">#REF!</definedName>
    <definedName name="BudgetYearRange" localSheetId="10">#REF!</definedName>
    <definedName name="BudgetYearRange" localSheetId="20">#REF!</definedName>
    <definedName name="BudgetYearRange" localSheetId="11">#REF!</definedName>
    <definedName name="BudgetYearRange">#REF!</definedName>
    <definedName name="BusinessTax" localSheetId="11">#REF!</definedName>
    <definedName name="BusinessTax">#REF!</definedName>
    <definedName name="B产品">#REF!</definedName>
    <definedName name="B盈亏平衡售价" localSheetId="6">#REF!</definedName>
    <definedName name="B盈亏平衡售价" localSheetId="10">#REF!</definedName>
    <definedName name="B盈亏平衡售价" localSheetId="20">#REF!</definedName>
    <definedName name="B盈亏平衡售价" localSheetId="11">#REF!</definedName>
    <definedName name="B盈亏平衡售价">#REF!</definedName>
    <definedName name="caihui" localSheetId="6">#REF!</definedName>
    <definedName name="caihui" localSheetId="10">#REF!</definedName>
    <definedName name="caihui" localSheetId="20">#REF!</definedName>
    <definedName name="caihui" localSheetId="11">#REF!</definedName>
    <definedName name="caihui">#REF!</definedName>
    <definedName name="cbx">#REF!</definedName>
    <definedName name="CBXS" localSheetId="20">#REF!</definedName>
    <definedName name="CBXS">#REF!</definedName>
    <definedName name="cc" localSheetId="11">#REF!</definedName>
    <definedName name="cc">#REF!</definedName>
    <definedName name="CDEF" localSheetId="6">#REF!</definedName>
    <definedName name="CDEF" localSheetId="10">#REF!</definedName>
    <definedName name="CDEF" localSheetId="20">#REF!</definedName>
    <definedName name="CDEF" localSheetId="11">#REF!</definedName>
    <definedName name="CDEF">#REF!</definedName>
    <definedName name="clah" localSheetId="6">#REF!</definedName>
    <definedName name="clah" localSheetId="10">#REF!</definedName>
    <definedName name="clah" localSheetId="20">#REF!</definedName>
    <definedName name="clah" localSheetId="11">#REF!</definedName>
    <definedName name="clah">#REF!</definedName>
    <definedName name="clearcost" localSheetId="6">#REF!</definedName>
    <definedName name="clearcost" localSheetId="10">#REF!</definedName>
    <definedName name="clearcost" localSheetId="20">#REF!</definedName>
    <definedName name="clearcost" localSheetId="11">#REF!</definedName>
    <definedName name="clearcost">#REF!</definedName>
    <definedName name="CLEARLAND" localSheetId="6">#REF!</definedName>
    <definedName name="CLEARLAND" localSheetId="10">#REF!</definedName>
    <definedName name="CLEARLAND" localSheetId="20">#REF!</definedName>
    <definedName name="CLEARLAND" localSheetId="11">#REF!</definedName>
    <definedName name="CLEARLAND">#REF!</definedName>
    <definedName name="CLEARLAND2" localSheetId="6">#REF!</definedName>
    <definedName name="CLEARLAND2" localSheetId="10">#REF!</definedName>
    <definedName name="CLEARLAND2" localSheetId="20">#REF!</definedName>
    <definedName name="CLEARLAND2" localSheetId="11">#REF!</definedName>
    <definedName name="CLEARLAND2">#REF!</definedName>
    <definedName name="clearland3" localSheetId="6">#REF!</definedName>
    <definedName name="clearland3" localSheetId="10">#REF!</definedName>
    <definedName name="clearland3" localSheetId="20">#REF!</definedName>
    <definedName name="clearland3" localSheetId="11">#REF!</definedName>
    <definedName name="clearland3">#REF!</definedName>
    <definedName name="clz" localSheetId="6">#REF!</definedName>
    <definedName name="clz" localSheetId="10">#REF!</definedName>
    <definedName name="clz" localSheetId="20">#REF!</definedName>
    <definedName name="clz" localSheetId="11">#REF!</definedName>
    <definedName name="clz">#REF!</definedName>
    <definedName name="CRC" localSheetId="11">#REF!</definedName>
    <definedName name="CRC">#REF!</definedName>
    <definedName name="Currency" localSheetId="11">#REF!</definedName>
    <definedName name="Currency">#REF!</definedName>
    <definedName name="CV" localSheetId="6">#REF!</definedName>
    <definedName name="CV" localSheetId="10">#REF!</definedName>
    <definedName name="CV" localSheetId="20">#REF!</definedName>
    <definedName name="CV" localSheetId="11">#REF!</definedName>
    <definedName name="CV">#REF!</definedName>
    <definedName name="C产品">#REF!</definedName>
    <definedName name="DA" localSheetId="6">#REF!</definedName>
    <definedName name="DA" localSheetId="10">#REF!</definedName>
    <definedName name="DA" localSheetId="20">#REF!</definedName>
    <definedName name="DA" localSheetId="11">#REF!</definedName>
    <definedName name="DA">#REF!</definedName>
    <definedName name="dada" localSheetId="6">#REF!</definedName>
    <definedName name="dada" localSheetId="10">#REF!</definedName>
    <definedName name="dada" localSheetId="20">#REF!</definedName>
    <definedName name="dada" localSheetId="11">#REF!</definedName>
    <definedName name="dada">#REF!</definedName>
    <definedName name="data" localSheetId="6">#REF!</definedName>
    <definedName name="data" localSheetId="10">#REF!</definedName>
    <definedName name="data" localSheetId="20">#REF!</definedName>
    <definedName name="data" localSheetId="11">#REF!</definedName>
    <definedName name="data">#REF!</definedName>
    <definedName name="DATA1" localSheetId="1">#REF!</definedName>
    <definedName name="DATA1" localSheetId="6">#REF!</definedName>
    <definedName name="DATA1" localSheetId="10">#REF!</definedName>
    <definedName name="DATA1" localSheetId="2">#REF!</definedName>
    <definedName name="DATA1" localSheetId="3">#REF!</definedName>
    <definedName name="DATA1" localSheetId="19">#REF!</definedName>
    <definedName name="DATA1" localSheetId="20">#REF!</definedName>
    <definedName name="DATA1" localSheetId="4">#REF!</definedName>
    <definedName name="DATA1" localSheetId="11">#REF!</definedName>
    <definedName name="DATA1">#REF!</definedName>
    <definedName name="DATA10" localSheetId="1">#REF!</definedName>
    <definedName name="DATA10" localSheetId="6">#REF!</definedName>
    <definedName name="DATA10" localSheetId="10">#REF!</definedName>
    <definedName name="DATA10" localSheetId="2">#REF!</definedName>
    <definedName name="DATA10" localSheetId="3">#REF!</definedName>
    <definedName name="DATA10" localSheetId="19">#REF!</definedName>
    <definedName name="DATA10" localSheetId="20">#REF!</definedName>
    <definedName name="DATA10" localSheetId="4">#REF!</definedName>
    <definedName name="DATA10" localSheetId="11">#REF!</definedName>
    <definedName name="DATA10">#REF!</definedName>
    <definedName name="DATA11" localSheetId="1">#REF!</definedName>
    <definedName name="DATA11" localSheetId="6">#REF!</definedName>
    <definedName name="DATA11" localSheetId="10">#REF!</definedName>
    <definedName name="DATA11" localSheetId="2">#REF!</definedName>
    <definedName name="DATA11" localSheetId="3">#REF!</definedName>
    <definedName name="DATA11" localSheetId="19">#REF!</definedName>
    <definedName name="DATA11" localSheetId="20">#REF!</definedName>
    <definedName name="DATA11" localSheetId="4">#REF!</definedName>
    <definedName name="DATA11" localSheetId="11">#REF!</definedName>
    <definedName name="DATA11">#REF!</definedName>
    <definedName name="DATA12" localSheetId="1">#REF!</definedName>
    <definedName name="DATA12" localSheetId="6">#REF!</definedName>
    <definedName name="DATA12" localSheetId="10">#REF!</definedName>
    <definedName name="DATA12" localSheetId="2">#REF!</definedName>
    <definedName name="DATA12" localSheetId="3">#REF!</definedName>
    <definedName name="DATA12" localSheetId="19">#REF!</definedName>
    <definedName name="DATA12" localSheetId="20">#REF!</definedName>
    <definedName name="DATA12" localSheetId="4">#REF!</definedName>
    <definedName name="DATA12" localSheetId="11">#REF!</definedName>
    <definedName name="DATA12">#REF!</definedName>
    <definedName name="DATA13" localSheetId="1">#REF!</definedName>
    <definedName name="DATA13" localSheetId="6">#REF!</definedName>
    <definedName name="DATA13" localSheetId="10">#REF!</definedName>
    <definedName name="DATA13" localSheetId="2">#REF!</definedName>
    <definedName name="DATA13" localSheetId="3">#REF!</definedName>
    <definedName name="DATA13" localSheetId="19">#REF!</definedName>
    <definedName name="DATA13" localSheetId="20">#REF!</definedName>
    <definedName name="DATA13" localSheetId="4">#REF!</definedName>
    <definedName name="DATA13" localSheetId="11">#REF!</definedName>
    <definedName name="DATA13">#REF!</definedName>
    <definedName name="DATA14" localSheetId="1">#REF!</definedName>
    <definedName name="DATA14" localSheetId="6">#REF!</definedName>
    <definedName name="DATA14" localSheetId="10">#REF!</definedName>
    <definedName name="DATA14" localSheetId="2">#REF!</definedName>
    <definedName name="DATA14" localSheetId="3">#REF!</definedName>
    <definedName name="DATA14" localSheetId="19">#REF!</definedName>
    <definedName name="DATA14" localSheetId="20">#REF!</definedName>
    <definedName name="DATA14" localSheetId="4">#REF!</definedName>
    <definedName name="DATA14" localSheetId="11">#REF!</definedName>
    <definedName name="DATA14">#REF!</definedName>
    <definedName name="DATA15" localSheetId="1">#REF!</definedName>
    <definedName name="DATA15" localSheetId="6">#REF!</definedName>
    <definedName name="DATA15" localSheetId="10">#REF!</definedName>
    <definedName name="DATA15" localSheetId="2">#REF!</definedName>
    <definedName name="DATA15" localSheetId="3">#REF!</definedName>
    <definedName name="DATA15" localSheetId="19">#REF!</definedName>
    <definedName name="DATA15" localSheetId="20">#REF!</definedName>
    <definedName name="DATA15" localSheetId="4">#REF!</definedName>
    <definedName name="DATA15" localSheetId="11">#REF!</definedName>
    <definedName name="DATA15">#REF!</definedName>
    <definedName name="DATA16" localSheetId="1">#REF!</definedName>
    <definedName name="DATA16" localSheetId="6">#REF!</definedName>
    <definedName name="DATA16" localSheetId="10">#REF!</definedName>
    <definedName name="DATA16" localSheetId="2">#REF!</definedName>
    <definedName name="DATA16" localSheetId="3">#REF!</definedName>
    <definedName name="DATA16" localSheetId="19">#REF!</definedName>
    <definedName name="DATA16" localSheetId="20">#REF!</definedName>
    <definedName name="DATA16" localSheetId="4">#REF!</definedName>
    <definedName name="DATA16" localSheetId="11">#REF!</definedName>
    <definedName name="DATA16">#REF!</definedName>
    <definedName name="DATA17" localSheetId="1">#REF!</definedName>
    <definedName name="DATA17" localSheetId="6">#REF!</definedName>
    <definedName name="DATA17" localSheetId="10">#REF!</definedName>
    <definedName name="DATA17" localSheetId="2">#REF!</definedName>
    <definedName name="DATA17" localSheetId="3">#REF!</definedName>
    <definedName name="DATA17" localSheetId="19">#REF!</definedName>
    <definedName name="DATA17" localSheetId="20">#REF!</definedName>
    <definedName name="DATA17" localSheetId="4">#REF!</definedName>
    <definedName name="DATA17" localSheetId="11">#REF!</definedName>
    <definedName name="DATA17">#REF!</definedName>
    <definedName name="DATA18" localSheetId="1">#REF!</definedName>
    <definedName name="DATA18" localSheetId="6">#REF!</definedName>
    <definedName name="DATA18" localSheetId="10">#REF!</definedName>
    <definedName name="DATA18" localSheetId="2">#REF!</definedName>
    <definedName name="DATA18" localSheetId="3">#REF!</definedName>
    <definedName name="DATA18" localSheetId="19">#REF!</definedName>
    <definedName name="DATA18" localSheetId="20">#REF!</definedName>
    <definedName name="DATA18" localSheetId="4">#REF!</definedName>
    <definedName name="DATA18" localSheetId="11">#REF!</definedName>
    <definedName name="DATA18">#REF!</definedName>
    <definedName name="DATA19" localSheetId="1">#REF!</definedName>
    <definedName name="DATA19" localSheetId="6">#REF!</definedName>
    <definedName name="DATA19" localSheetId="10">#REF!</definedName>
    <definedName name="DATA19" localSheetId="2">#REF!</definedName>
    <definedName name="DATA19" localSheetId="3">#REF!</definedName>
    <definedName name="DATA19" localSheetId="19">#REF!</definedName>
    <definedName name="DATA19" localSheetId="20">#REF!</definedName>
    <definedName name="DATA19" localSheetId="4">#REF!</definedName>
    <definedName name="DATA19" localSheetId="11">#REF!</definedName>
    <definedName name="DATA19">#REF!</definedName>
    <definedName name="DATA2" localSheetId="1">#REF!</definedName>
    <definedName name="DATA2" localSheetId="6">#REF!</definedName>
    <definedName name="DATA2" localSheetId="10">#REF!</definedName>
    <definedName name="DATA2" localSheetId="2">#REF!</definedName>
    <definedName name="DATA2" localSheetId="3">#REF!</definedName>
    <definedName name="DATA2" localSheetId="19">#REF!</definedName>
    <definedName name="DATA2" localSheetId="20">#REF!</definedName>
    <definedName name="DATA2" localSheetId="4">#REF!</definedName>
    <definedName name="DATA2" localSheetId="11">#REF!</definedName>
    <definedName name="DATA2">#REF!</definedName>
    <definedName name="DATA20" localSheetId="1">#REF!</definedName>
    <definedName name="DATA20" localSheetId="6">#REF!</definedName>
    <definedName name="DATA20" localSheetId="10">#REF!</definedName>
    <definedName name="DATA20" localSheetId="2">#REF!</definedName>
    <definedName name="DATA20" localSheetId="3">#REF!</definedName>
    <definedName name="DATA20" localSheetId="19">#REF!</definedName>
    <definedName name="DATA20" localSheetId="20">#REF!</definedName>
    <definedName name="DATA20" localSheetId="4">#REF!</definedName>
    <definedName name="DATA20" localSheetId="11">#REF!</definedName>
    <definedName name="DATA20">#REF!</definedName>
    <definedName name="DATA21" localSheetId="1">#REF!</definedName>
    <definedName name="DATA21" localSheetId="6">#REF!</definedName>
    <definedName name="DATA21" localSheetId="10">#REF!</definedName>
    <definedName name="DATA21" localSheetId="2">#REF!</definedName>
    <definedName name="DATA21" localSheetId="3">#REF!</definedName>
    <definedName name="DATA21" localSheetId="19">#REF!</definedName>
    <definedName name="DATA21" localSheetId="20">#REF!</definedName>
    <definedName name="DATA21" localSheetId="4">#REF!</definedName>
    <definedName name="DATA21" localSheetId="11">#REF!</definedName>
    <definedName name="DATA21">#REF!</definedName>
    <definedName name="DATA22" localSheetId="1">#REF!</definedName>
    <definedName name="DATA22" localSheetId="6">#REF!</definedName>
    <definedName name="DATA22" localSheetId="10">#REF!</definedName>
    <definedName name="DATA22" localSheetId="2">#REF!</definedName>
    <definedName name="DATA22" localSheetId="3">#REF!</definedName>
    <definedName name="DATA22" localSheetId="19">#REF!</definedName>
    <definedName name="DATA22" localSheetId="20">#REF!</definedName>
    <definedName name="DATA22" localSheetId="4">#REF!</definedName>
    <definedName name="DATA22" localSheetId="11">#REF!</definedName>
    <definedName name="DATA22">#REF!</definedName>
    <definedName name="DATA23" localSheetId="1">#REF!</definedName>
    <definedName name="DATA23" localSheetId="6">#REF!</definedName>
    <definedName name="DATA23" localSheetId="10">#REF!</definedName>
    <definedName name="DATA23" localSheetId="2">#REF!</definedName>
    <definedName name="DATA23" localSheetId="3">#REF!</definedName>
    <definedName name="DATA23" localSheetId="19">#REF!</definedName>
    <definedName name="DATA23" localSheetId="20">#REF!</definedName>
    <definedName name="DATA23" localSheetId="4">#REF!</definedName>
    <definedName name="DATA23" localSheetId="11">#REF!</definedName>
    <definedName name="DATA23">#REF!</definedName>
    <definedName name="DATA24" localSheetId="1">#REF!</definedName>
    <definedName name="DATA24" localSheetId="6">#REF!</definedName>
    <definedName name="DATA24" localSheetId="10">#REF!</definedName>
    <definedName name="DATA24" localSheetId="2">#REF!</definedName>
    <definedName name="DATA24" localSheetId="3">#REF!</definedName>
    <definedName name="DATA24" localSheetId="19">#REF!</definedName>
    <definedName name="DATA24" localSheetId="20">#REF!</definedName>
    <definedName name="DATA24" localSheetId="4">#REF!</definedName>
    <definedName name="DATA24" localSheetId="11">#REF!</definedName>
    <definedName name="DATA24">#REF!</definedName>
    <definedName name="DATA25" localSheetId="1">#REF!</definedName>
    <definedName name="DATA25" localSheetId="6">#REF!</definedName>
    <definedName name="DATA25" localSheetId="10">#REF!</definedName>
    <definedName name="DATA25" localSheetId="2">#REF!</definedName>
    <definedName name="DATA25" localSheetId="3">#REF!</definedName>
    <definedName name="DATA25" localSheetId="19">#REF!</definedName>
    <definedName name="DATA25" localSheetId="20">#REF!</definedName>
    <definedName name="DATA25" localSheetId="4">#REF!</definedName>
    <definedName name="DATA25" localSheetId="11">#REF!</definedName>
    <definedName name="DATA25">#REF!</definedName>
    <definedName name="DATA26" localSheetId="1">#REF!</definedName>
    <definedName name="DATA26" localSheetId="6">#REF!</definedName>
    <definedName name="DATA26" localSheetId="10">#REF!</definedName>
    <definedName name="DATA26" localSheetId="2">#REF!</definedName>
    <definedName name="DATA26" localSheetId="3">#REF!</definedName>
    <definedName name="DATA26" localSheetId="19">#REF!</definedName>
    <definedName name="DATA26" localSheetId="20">#REF!</definedName>
    <definedName name="DATA26" localSheetId="4">#REF!</definedName>
    <definedName name="DATA26" localSheetId="11">#REF!</definedName>
    <definedName name="DATA26">#REF!</definedName>
    <definedName name="DATA27" localSheetId="1">#REF!</definedName>
    <definedName name="DATA27" localSheetId="6">#REF!</definedName>
    <definedName name="DATA27" localSheetId="10">#REF!</definedName>
    <definedName name="DATA27" localSheetId="2">#REF!</definedName>
    <definedName name="DATA27" localSheetId="3">#REF!</definedName>
    <definedName name="DATA27" localSheetId="19">#REF!</definedName>
    <definedName name="DATA27" localSheetId="20">#REF!</definedName>
    <definedName name="DATA27" localSheetId="4">#REF!</definedName>
    <definedName name="DATA27" localSheetId="11">#REF!</definedName>
    <definedName name="DATA27">#REF!</definedName>
    <definedName name="DATA28" localSheetId="1">#REF!</definedName>
    <definedName name="DATA28" localSheetId="6">#REF!</definedName>
    <definedName name="DATA28" localSheetId="10">#REF!</definedName>
    <definedName name="DATA28" localSheetId="2">#REF!</definedName>
    <definedName name="DATA28" localSheetId="3">#REF!</definedName>
    <definedName name="DATA28" localSheetId="19">#REF!</definedName>
    <definedName name="DATA28" localSheetId="20">#REF!</definedName>
    <definedName name="DATA28" localSheetId="4">#REF!</definedName>
    <definedName name="DATA28" localSheetId="11">#REF!</definedName>
    <definedName name="DATA28">#REF!</definedName>
    <definedName name="DATA29" localSheetId="1">#REF!</definedName>
    <definedName name="DATA29" localSheetId="6">#REF!</definedName>
    <definedName name="DATA29" localSheetId="10">#REF!</definedName>
    <definedName name="DATA29" localSheetId="2">#REF!</definedName>
    <definedName name="DATA29" localSheetId="3">#REF!</definedName>
    <definedName name="DATA29" localSheetId="19">#REF!</definedName>
    <definedName name="DATA29" localSheetId="20">#REF!</definedName>
    <definedName name="DATA29" localSheetId="4">#REF!</definedName>
    <definedName name="DATA29" localSheetId="11">#REF!</definedName>
    <definedName name="DATA29">#REF!</definedName>
    <definedName name="DATA3" localSheetId="1">#REF!</definedName>
    <definedName name="DATA3" localSheetId="6">#REF!</definedName>
    <definedName name="DATA3" localSheetId="10">#REF!</definedName>
    <definedName name="DATA3" localSheetId="2">#REF!</definedName>
    <definedName name="DATA3" localSheetId="3">#REF!</definedName>
    <definedName name="DATA3" localSheetId="19">#REF!</definedName>
    <definedName name="DATA3" localSheetId="20">#REF!</definedName>
    <definedName name="DATA3" localSheetId="4">#REF!</definedName>
    <definedName name="DATA3" localSheetId="11">#REF!</definedName>
    <definedName name="DATA3">#REF!</definedName>
    <definedName name="DATA30" localSheetId="1">#REF!</definedName>
    <definedName name="DATA30" localSheetId="6">#REF!</definedName>
    <definedName name="DATA30" localSheetId="10">#REF!</definedName>
    <definedName name="DATA30" localSheetId="2">#REF!</definedName>
    <definedName name="DATA30" localSheetId="3">#REF!</definedName>
    <definedName name="DATA30" localSheetId="19">#REF!</definedName>
    <definedName name="DATA30" localSheetId="20">#REF!</definedName>
    <definedName name="DATA30" localSheetId="4">#REF!</definedName>
    <definedName name="DATA30" localSheetId="11">#REF!</definedName>
    <definedName name="DATA30">#REF!</definedName>
    <definedName name="DATA31" localSheetId="1">#REF!</definedName>
    <definedName name="DATA31" localSheetId="6">#REF!</definedName>
    <definedName name="DATA31" localSheetId="10">#REF!</definedName>
    <definedName name="DATA31" localSheetId="2">#REF!</definedName>
    <definedName name="DATA31" localSheetId="3">#REF!</definedName>
    <definedName name="DATA31" localSheetId="19">#REF!</definedName>
    <definedName name="DATA31" localSheetId="20">#REF!</definedName>
    <definedName name="DATA31" localSheetId="4">#REF!</definedName>
    <definedName name="DATA31" localSheetId="11">#REF!</definedName>
    <definedName name="DATA31">#REF!</definedName>
    <definedName name="DATA32" localSheetId="1">#REF!</definedName>
    <definedName name="DATA32" localSheetId="6">#REF!</definedName>
    <definedName name="DATA32" localSheetId="10">#REF!</definedName>
    <definedName name="DATA32" localSheetId="2">#REF!</definedName>
    <definedName name="DATA32" localSheetId="3">#REF!</definedName>
    <definedName name="DATA32" localSheetId="19">#REF!</definedName>
    <definedName name="DATA32" localSheetId="20">#REF!</definedName>
    <definedName name="DATA32" localSheetId="4">#REF!</definedName>
    <definedName name="DATA32" localSheetId="11">#REF!</definedName>
    <definedName name="DATA32">#REF!</definedName>
    <definedName name="DATA33" localSheetId="1">#REF!</definedName>
    <definedName name="DATA33" localSheetId="6">#REF!</definedName>
    <definedName name="DATA33" localSheetId="10">#REF!</definedName>
    <definedName name="DATA33" localSheetId="2">#REF!</definedName>
    <definedName name="DATA33" localSheetId="3">#REF!</definedName>
    <definedName name="DATA33" localSheetId="19">#REF!</definedName>
    <definedName name="DATA33" localSheetId="20">#REF!</definedName>
    <definedName name="DATA33" localSheetId="4">#REF!</definedName>
    <definedName name="DATA33" localSheetId="11">#REF!</definedName>
    <definedName name="DATA33">#REF!</definedName>
    <definedName name="DATA34" localSheetId="1">#REF!</definedName>
    <definedName name="DATA34" localSheetId="6">#REF!</definedName>
    <definedName name="DATA34" localSheetId="10">#REF!</definedName>
    <definedName name="DATA34" localSheetId="2">#REF!</definedName>
    <definedName name="DATA34" localSheetId="3">#REF!</definedName>
    <definedName name="DATA34" localSheetId="19">#REF!</definedName>
    <definedName name="DATA34" localSheetId="20">#REF!</definedName>
    <definedName name="DATA34" localSheetId="4">#REF!</definedName>
    <definedName name="DATA34" localSheetId="11">#REF!</definedName>
    <definedName name="DATA34">#REF!</definedName>
    <definedName name="DATA35" localSheetId="1">#REF!</definedName>
    <definedName name="DATA35" localSheetId="6">#REF!</definedName>
    <definedName name="DATA35" localSheetId="10">#REF!</definedName>
    <definedName name="DATA35" localSheetId="2">#REF!</definedName>
    <definedName name="DATA35" localSheetId="3">#REF!</definedName>
    <definedName name="DATA35" localSheetId="19">#REF!</definedName>
    <definedName name="DATA35" localSheetId="20">#REF!</definedName>
    <definedName name="DATA35" localSheetId="4">#REF!</definedName>
    <definedName name="DATA35" localSheetId="11">#REF!</definedName>
    <definedName name="DATA35">#REF!</definedName>
    <definedName name="DATA36" localSheetId="1">#REF!</definedName>
    <definedName name="DATA36" localSheetId="6">#REF!</definedName>
    <definedName name="DATA36" localSheetId="10">#REF!</definedName>
    <definedName name="DATA36" localSheetId="2">#REF!</definedName>
    <definedName name="DATA36" localSheetId="3">#REF!</definedName>
    <definedName name="DATA36" localSheetId="19">#REF!</definedName>
    <definedName name="DATA36" localSheetId="20">#REF!</definedName>
    <definedName name="DATA36" localSheetId="4">#REF!</definedName>
    <definedName name="DATA36" localSheetId="11">#REF!</definedName>
    <definedName name="DATA36">#REF!</definedName>
    <definedName name="DATA37" localSheetId="1">#REF!</definedName>
    <definedName name="DATA37" localSheetId="6">#REF!</definedName>
    <definedName name="DATA37" localSheetId="10">#REF!</definedName>
    <definedName name="DATA37" localSheetId="2">#REF!</definedName>
    <definedName name="DATA37" localSheetId="3">#REF!</definedName>
    <definedName name="DATA37" localSheetId="19">#REF!</definedName>
    <definedName name="DATA37" localSheetId="20">#REF!</definedName>
    <definedName name="DATA37" localSheetId="4">#REF!</definedName>
    <definedName name="DATA37" localSheetId="11">#REF!</definedName>
    <definedName name="DATA37">#REF!</definedName>
    <definedName name="DATA38" localSheetId="1">#REF!</definedName>
    <definedName name="DATA38" localSheetId="6">#REF!</definedName>
    <definedName name="DATA38" localSheetId="10">#REF!</definedName>
    <definedName name="DATA38" localSheetId="2">#REF!</definedName>
    <definedName name="DATA38" localSheetId="3">#REF!</definedName>
    <definedName name="DATA38" localSheetId="19">#REF!</definedName>
    <definedName name="DATA38" localSheetId="20">#REF!</definedName>
    <definedName name="DATA38" localSheetId="4">#REF!</definedName>
    <definedName name="DATA38" localSheetId="11">#REF!</definedName>
    <definedName name="DATA38">#REF!</definedName>
    <definedName name="DATA39" localSheetId="1">#REF!</definedName>
    <definedName name="DATA39" localSheetId="6">#REF!</definedName>
    <definedName name="DATA39" localSheetId="10">#REF!</definedName>
    <definedName name="DATA39" localSheetId="2">#REF!</definedName>
    <definedName name="DATA39" localSheetId="3">#REF!</definedName>
    <definedName name="DATA39" localSheetId="19">#REF!</definedName>
    <definedName name="DATA39" localSheetId="20">#REF!</definedName>
    <definedName name="DATA39" localSheetId="4">#REF!</definedName>
    <definedName name="DATA39" localSheetId="11">#REF!</definedName>
    <definedName name="DATA39">#REF!</definedName>
    <definedName name="DATA4" localSheetId="1">#REF!</definedName>
    <definedName name="DATA4" localSheetId="6">#REF!</definedName>
    <definedName name="DATA4" localSheetId="10">#REF!</definedName>
    <definedName name="DATA4" localSheetId="2">#REF!</definedName>
    <definedName name="DATA4" localSheetId="3">#REF!</definedName>
    <definedName name="DATA4" localSheetId="19">#REF!</definedName>
    <definedName name="DATA4" localSheetId="20">#REF!</definedName>
    <definedName name="DATA4" localSheetId="4">#REF!</definedName>
    <definedName name="DATA4" localSheetId="11">#REF!</definedName>
    <definedName name="DATA4">#REF!</definedName>
    <definedName name="DATA40" localSheetId="1">#REF!</definedName>
    <definedName name="DATA40" localSheetId="6">#REF!</definedName>
    <definedName name="DATA40" localSheetId="10">#REF!</definedName>
    <definedName name="DATA40" localSheetId="2">#REF!</definedName>
    <definedName name="DATA40" localSheetId="3">#REF!</definedName>
    <definedName name="DATA40" localSheetId="19">#REF!</definedName>
    <definedName name="DATA40" localSheetId="20">#REF!</definedName>
    <definedName name="DATA40" localSheetId="4">#REF!</definedName>
    <definedName name="DATA40" localSheetId="11">#REF!</definedName>
    <definedName name="DATA40">#REF!</definedName>
    <definedName name="DATA41" localSheetId="1">#REF!</definedName>
    <definedName name="DATA41" localSheetId="6">#REF!</definedName>
    <definedName name="DATA41" localSheetId="10">#REF!</definedName>
    <definedName name="DATA41" localSheetId="2">#REF!</definedName>
    <definedName name="DATA41" localSheetId="3">#REF!</definedName>
    <definedName name="DATA41" localSheetId="19">#REF!</definedName>
    <definedName name="DATA41" localSheetId="20">#REF!</definedName>
    <definedName name="DATA41" localSheetId="4">#REF!</definedName>
    <definedName name="DATA41" localSheetId="11">#REF!</definedName>
    <definedName name="DATA41">#REF!</definedName>
    <definedName name="DATA42" localSheetId="1">#REF!</definedName>
    <definedName name="DATA42" localSheetId="6">#REF!</definedName>
    <definedName name="DATA42" localSheetId="10">#REF!</definedName>
    <definedName name="DATA42" localSheetId="2">#REF!</definedName>
    <definedName name="DATA42" localSheetId="3">#REF!</definedName>
    <definedName name="DATA42" localSheetId="19">#REF!</definedName>
    <definedName name="DATA42" localSheetId="20">#REF!</definedName>
    <definedName name="DATA42" localSheetId="4">#REF!</definedName>
    <definedName name="DATA42" localSheetId="11">#REF!</definedName>
    <definedName name="DATA42">#REF!</definedName>
    <definedName name="DATA43" localSheetId="1">#REF!</definedName>
    <definedName name="DATA43" localSheetId="6">#REF!</definedName>
    <definedName name="DATA43" localSheetId="10">#REF!</definedName>
    <definedName name="DATA43" localSheetId="2">#REF!</definedName>
    <definedName name="DATA43" localSheetId="3">#REF!</definedName>
    <definedName name="DATA43" localSheetId="19">#REF!</definedName>
    <definedName name="DATA43" localSheetId="20">#REF!</definedName>
    <definedName name="DATA43" localSheetId="4">#REF!</definedName>
    <definedName name="DATA43" localSheetId="11">#REF!</definedName>
    <definedName name="DATA43">#REF!</definedName>
    <definedName name="DATA44" localSheetId="1">#REF!</definedName>
    <definedName name="DATA44" localSheetId="6">#REF!</definedName>
    <definedName name="DATA44" localSheetId="10">#REF!</definedName>
    <definedName name="DATA44" localSheetId="2">#REF!</definedName>
    <definedName name="DATA44" localSheetId="3">#REF!</definedName>
    <definedName name="DATA44" localSheetId="19">#REF!</definedName>
    <definedName name="DATA44" localSheetId="20">#REF!</definedName>
    <definedName name="DATA44" localSheetId="4">#REF!</definedName>
    <definedName name="DATA44" localSheetId="11">#REF!</definedName>
    <definedName name="DATA44">#REF!</definedName>
    <definedName name="DATA45" localSheetId="1">#REF!</definedName>
    <definedName name="DATA45" localSheetId="6">#REF!</definedName>
    <definedName name="DATA45" localSheetId="10">#REF!</definedName>
    <definedName name="DATA45" localSheetId="2">#REF!</definedName>
    <definedName name="DATA45" localSheetId="3">#REF!</definedName>
    <definedName name="DATA45" localSheetId="19">#REF!</definedName>
    <definedName name="DATA45" localSheetId="20">#REF!</definedName>
    <definedName name="DATA45" localSheetId="4">#REF!</definedName>
    <definedName name="DATA45" localSheetId="11">#REF!</definedName>
    <definedName name="DATA45">#REF!</definedName>
    <definedName name="DATA46" localSheetId="1">#REF!</definedName>
    <definedName name="DATA46" localSheetId="6">#REF!</definedName>
    <definedName name="DATA46" localSheetId="10">#REF!</definedName>
    <definedName name="DATA46" localSheetId="2">#REF!</definedName>
    <definedName name="DATA46" localSheetId="3">#REF!</definedName>
    <definedName name="DATA46" localSheetId="19">#REF!</definedName>
    <definedName name="DATA46" localSheetId="20">#REF!</definedName>
    <definedName name="DATA46" localSheetId="4">#REF!</definedName>
    <definedName name="DATA46" localSheetId="11">#REF!</definedName>
    <definedName name="DATA46">#REF!</definedName>
    <definedName name="DATA47" localSheetId="1">#REF!</definedName>
    <definedName name="DATA47" localSheetId="6">#REF!</definedName>
    <definedName name="DATA47" localSheetId="10">#REF!</definedName>
    <definedName name="DATA47" localSheetId="2">#REF!</definedName>
    <definedName name="DATA47" localSheetId="3">#REF!</definedName>
    <definedName name="DATA47" localSheetId="19">#REF!</definedName>
    <definedName name="DATA47" localSheetId="20">#REF!</definedName>
    <definedName name="DATA47" localSheetId="4">#REF!</definedName>
    <definedName name="DATA47" localSheetId="11">#REF!</definedName>
    <definedName name="DATA47">#REF!</definedName>
    <definedName name="DATA48" localSheetId="1">#REF!</definedName>
    <definedName name="DATA48" localSheetId="6">#REF!</definedName>
    <definedName name="DATA48" localSheetId="10">#REF!</definedName>
    <definedName name="DATA48" localSheetId="2">#REF!</definedName>
    <definedName name="DATA48" localSheetId="3">#REF!</definedName>
    <definedName name="DATA48" localSheetId="19">#REF!</definedName>
    <definedName name="DATA48" localSheetId="20">#REF!</definedName>
    <definedName name="DATA48" localSheetId="4">#REF!</definedName>
    <definedName name="DATA48" localSheetId="11">#REF!</definedName>
    <definedName name="DATA48">#REF!</definedName>
    <definedName name="DATA49" localSheetId="1">#REF!</definedName>
    <definedName name="DATA49" localSheetId="6">#REF!</definedName>
    <definedName name="DATA49" localSheetId="10">#REF!</definedName>
    <definedName name="DATA49" localSheetId="2">#REF!</definedName>
    <definedName name="DATA49" localSheetId="3">#REF!</definedName>
    <definedName name="DATA49" localSheetId="19">#REF!</definedName>
    <definedName name="DATA49" localSheetId="20">#REF!</definedName>
    <definedName name="DATA49" localSheetId="4">#REF!</definedName>
    <definedName name="DATA49" localSheetId="11">#REF!</definedName>
    <definedName name="DATA49">#REF!</definedName>
    <definedName name="DATA5" localSheetId="1">#REF!</definedName>
    <definedName name="DATA5" localSheetId="6">#REF!</definedName>
    <definedName name="DATA5" localSheetId="10">#REF!</definedName>
    <definedName name="DATA5" localSheetId="2">#REF!</definedName>
    <definedName name="DATA5" localSheetId="3">#REF!</definedName>
    <definedName name="DATA5" localSheetId="19">#REF!</definedName>
    <definedName name="DATA5" localSheetId="20">#REF!</definedName>
    <definedName name="DATA5" localSheetId="4">#REF!</definedName>
    <definedName name="DATA5" localSheetId="11">#REF!</definedName>
    <definedName name="DATA5">#REF!</definedName>
    <definedName name="DATA6" localSheetId="1">#REF!</definedName>
    <definedName name="DATA6" localSheetId="6">#REF!</definedName>
    <definedName name="DATA6" localSheetId="10">#REF!</definedName>
    <definedName name="DATA6" localSheetId="2">#REF!</definedName>
    <definedName name="DATA6" localSheetId="3">#REF!</definedName>
    <definedName name="DATA6" localSheetId="19">#REF!</definedName>
    <definedName name="DATA6" localSheetId="20">#REF!</definedName>
    <definedName name="DATA6" localSheetId="4">#REF!</definedName>
    <definedName name="DATA6" localSheetId="11">#REF!</definedName>
    <definedName name="DATA6">#REF!</definedName>
    <definedName name="DATA7" localSheetId="1">#REF!</definedName>
    <definedName name="DATA7" localSheetId="6">#REF!</definedName>
    <definedName name="DATA7" localSheetId="10">#REF!</definedName>
    <definedName name="DATA7" localSheetId="2">#REF!</definedName>
    <definedName name="DATA7" localSheetId="3">#REF!</definedName>
    <definedName name="DATA7" localSheetId="19">#REF!</definedName>
    <definedName name="DATA7" localSheetId="20">#REF!</definedName>
    <definedName name="DATA7" localSheetId="4">#REF!</definedName>
    <definedName name="DATA7" localSheetId="11">#REF!</definedName>
    <definedName name="DATA7">#REF!</definedName>
    <definedName name="DATA8" localSheetId="1">#REF!</definedName>
    <definedName name="DATA8" localSheetId="6">#REF!</definedName>
    <definedName name="DATA8" localSheetId="10">#REF!</definedName>
    <definedName name="DATA8" localSheetId="2">#REF!</definedName>
    <definedName name="DATA8" localSheetId="3">#REF!</definedName>
    <definedName name="DATA8" localSheetId="19">#REF!</definedName>
    <definedName name="DATA8" localSheetId="20">#REF!</definedName>
    <definedName name="DATA8" localSheetId="4">#REF!</definedName>
    <definedName name="DATA8" localSheetId="11">#REF!</definedName>
    <definedName name="DATA8">#REF!</definedName>
    <definedName name="DATA9" localSheetId="1">#REF!</definedName>
    <definedName name="DATA9" localSheetId="6">#REF!</definedName>
    <definedName name="DATA9" localSheetId="10">#REF!</definedName>
    <definedName name="DATA9" localSheetId="2">#REF!</definedName>
    <definedName name="DATA9" localSheetId="3">#REF!</definedName>
    <definedName name="DATA9" localSheetId="19">#REF!</definedName>
    <definedName name="DATA9" localSheetId="20">#REF!</definedName>
    <definedName name="DATA9" localSheetId="4">#REF!</definedName>
    <definedName name="DATA9" localSheetId="11">#REF!</definedName>
    <definedName name="DATA9">#REF!</definedName>
    <definedName name="_xlnm.Database" localSheetId="6">#REF!</definedName>
    <definedName name="_xlnm.Database" localSheetId="10">#REF!</definedName>
    <definedName name="_xlnm.Database" localSheetId="20">#REF!</definedName>
    <definedName name="_xlnm.Database" localSheetId="11">#REF!</definedName>
    <definedName name="_xlnm.Database">#REF!</definedName>
    <definedName name="database1" localSheetId="6">#REF!</definedName>
    <definedName name="database1" localSheetId="10">#REF!</definedName>
    <definedName name="database1" localSheetId="20">#REF!</definedName>
    <definedName name="database1" localSheetId="11">#REF!</definedName>
    <definedName name="database1">#REF!</definedName>
    <definedName name="database2" localSheetId="6">#REF!</definedName>
    <definedName name="database2" localSheetId="10">#REF!</definedName>
    <definedName name="database2" localSheetId="20">#REF!</definedName>
    <definedName name="database2" localSheetId="11">#REF!</definedName>
    <definedName name="database2">#REF!</definedName>
    <definedName name="database3" localSheetId="6">#REF!</definedName>
    <definedName name="database3" localSheetId="10">#REF!</definedName>
    <definedName name="database3" localSheetId="20">#REF!</definedName>
    <definedName name="database3" localSheetId="11">#REF!</definedName>
    <definedName name="database3">#REF!</definedName>
    <definedName name="database4" localSheetId="6">#REF!</definedName>
    <definedName name="database4" localSheetId="10">#REF!</definedName>
    <definedName name="database4" localSheetId="20">#REF!</definedName>
    <definedName name="database4" localSheetId="11">#REF!</definedName>
    <definedName name="database4">#REF!</definedName>
    <definedName name="database5" localSheetId="6">#REF!</definedName>
    <definedName name="database5" localSheetId="10">#REF!</definedName>
    <definedName name="database5" localSheetId="20">#REF!</definedName>
    <definedName name="database5" localSheetId="11">#REF!</definedName>
    <definedName name="database5">#REF!</definedName>
    <definedName name="database6" localSheetId="6">#REF!</definedName>
    <definedName name="database6" localSheetId="10">#REF!</definedName>
    <definedName name="database6" localSheetId="20">#REF!</definedName>
    <definedName name="database6" localSheetId="11">#REF!</definedName>
    <definedName name="database6">#REF!</definedName>
    <definedName name="databasese" localSheetId="6">#REF!</definedName>
    <definedName name="databasese" localSheetId="10">#REF!</definedName>
    <definedName name="databasese" localSheetId="20">#REF!</definedName>
    <definedName name="databasese" localSheetId="11">#REF!</definedName>
    <definedName name="databasese">#REF!</definedName>
    <definedName name="dd" localSheetId="6">#REF!</definedName>
    <definedName name="dd" localSheetId="10">#REF!</definedName>
    <definedName name="dd" localSheetId="20">#REF!</definedName>
    <definedName name="dd" localSheetId="11">#REF!</definedName>
    <definedName name="dd">#REF!</definedName>
    <definedName name="DDD" localSheetId="20">#REF!</definedName>
    <definedName name="DDD">#REF!</definedName>
    <definedName name="dm" localSheetId="6">#REF!</definedName>
    <definedName name="dm" localSheetId="10">#REF!</definedName>
    <definedName name="dm" localSheetId="20">#REF!</definedName>
    <definedName name="dm" localSheetId="11">#REF!</definedName>
    <definedName name="dm">#REF!</definedName>
    <definedName name="doorwindow" localSheetId="6">#REF!</definedName>
    <definedName name="doorwindow" localSheetId="10">#REF!</definedName>
    <definedName name="doorwindow" localSheetId="20">#REF!</definedName>
    <definedName name="doorwindow" localSheetId="11">#REF!</definedName>
    <definedName name="doorwindow">#REF!</definedName>
    <definedName name="DP" localSheetId="6">#REF!</definedName>
    <definedName name="DP" localSheetId="10">#REF!</definedName>
    <definedName name="DP" localSheetId="20">#REF!</definedName>
    <definedName name="DP" localSheetId="11">#REF!</definedName>
    <definedName name="DP">#REF!</definedName>
    <definedName name="DV" localSheetId="6">#REF!</definedName>
    <definedName name="DV" localSheetId="10">#REF!</definedName>
    <definedName name="DV" localSheetId="20">#REF!</definedName>
    <definedName name="DV" localSheetId="11">#REF!</definedName>
    <definedName name="DV">#REF!</definedName>
    <definedName name="D产品">#REF!</definedName>
    <definedName name="ee" localSheetId="20">#REF!</definedName>
    <definedName name="ee" localSheetId="11">#REF!</definedName>
    <definedName name="ee">#REF!</definedName>
    <definedName name="er." hidden="1">{#N/A,#N/A,FALSE,"资产负债表";#N/A,#N/A,FALSE,"资产负债表"}</definedName>
    <definedName name="E版本" localSheetId="20">#REF!</definedName>
    <definedName name="E版本" localSheetId="11">#REF!</definedName>
    <definedName name="E版本">#REF!</definedName>
    <definedName name="E产品">#REF!</definedName>
    <definedName name="E合并组" localSheetId="20">#REF!</definedName>
    <definedName name="E合并组" localSheetId="11">#REF!</definedName>
    <definedName name="E合并组">#REF!</definedName>
    <definedName name="E会计年度期间" localSheetId="20">#REF!</definedName>
    <definedName name="E会计年度期间" localSheetId="11">#REF!</definedName>
    <definedName name="E会计年度期间">#REF!</definedName>
    <definedName name="E日历年季度" localSheetId="20">#REF!</definedName>
    <definedName name="E日历年季度" localSheetId="11">#REF!</definedName>
    <definedName name="E日历年季度">#REF!</definedName>
    <definedName name="E项目" localSheetId="20">#REF!</definedName>
    <definedName name="E项目" localSheetId="11">#REF!</definedName>
    <definedName name="E项目">#REF!</definedName>
    <definedName name="f" localSheetId="6">#REF!</definedName>
    <definedName name="f" localSheetId="10">#REF!</definedName>
    <definedName name="f" localSheetId="20">#REF!</definedName>
    <definedName name="f" localSheetId="11">#REF!</definedName>
    <definedName name="f">#REF!</definedName>
    <definedName name="fadfadf" localSheetId="20">#REF!</definedName>
    <definedName name="fadfadf" localSheetId="11">#REF!</definedName>
    <definedName name="fadfadf">#REF!</definedName>
    <definedName name="FANWEI1" localSheetId="11">#REF!</definedName>
    <definedName name="FANWEI1">#REF!</definedName>
    <definedName name="ff" hidden="1">{#N/A,#N/A,FALSE,"资产负债表";#N/A,#N/A,FALSE,"资产负债表"}</definedName>
    <definedName name="fff" localSheetId="20">#REF!</definedName>
    <definedName name="fff">#REF!</definedName>
    <definedName name="fjf" localSheetId="6">#REF!</definedName>
    <definedName name="fjf" localSheetId="10">#REF!</definedName>
    <definedName name="fjf" localSheetId="20">#REF!</definedName>
    <definedName name="fjf" localSheetId="11">#REF!</definedName>
    <definedName name="fjf">#REF!</definedName>
    <definedName name="fsfa" localSheetId="6">#REF!</definedName>
    <definedName name="fsfa" localSheetId="10">#REF!</definedName>
    <definedName name="fsfa" localSheetId="20">#REF!</definedName>
    <definedName name="fsfa" localSheetId="11">#REF!</definedName>
    <definedName name="fsfa">#REF!</definedName>
    <definedName name="ftxs1" localSheetId="6">#REF!</definedName>
    <definedName name="ftxs1" localSheetId="10">#REF!</definedName>
    <definedName name="ftxs1" localSheetId="20">#REF!</definedName>
    <definedName name="ftxs1" localSheetId="11">#REF!</definedName>
    <definedName name="ftxs1">#REF!</definedName>
    <definedName name="ftxs2" localSheetId="6">#REF!</definedName>
    <definedName name="ftxs2" localSheetId="10">#REF!</definedName>
    <definedName name="ftxs2" localSheetId="20">#REF!</definedName>
    <definedName name="ftxs2" localSheetId="11">#REF!</definedName>
    <definedName name="ftxs2">#REF!</definedName>
    <definedName name="ftxs3" localSheetId="6">#REF!</definedName>
    <definedName name="ftxs3" localSheetId="10">#REF!</definedName>
    <definedName name="ftxs3" localSheetId="20">#REF!</definedName>
    <definedName name="ftxs3" localSheetId="11">#REF!</definedName>
    <definedName name="ftxs3">#REF!</definedName>
    <definedName name="ftxs4" localSheetId="6">#REF!</definedName>
    <definedName name="ftxs4" localSheetId="10">#REF!</definedName>
    <definedName name="ftxs4" localSheetId="20">#REF!</definedName>
    <definedName name="ftxs4" localSheetId="11">#REF!</definedName>
    <definedName name="ftxs4">#REF!</definedName>
    <definedName name="ftxs5" localSheetId="6">#REF!</definedName>
    <definedName name="ftxs5" localSheetId="10">#REF!</definedName>
    <definedName name="ftxs5" localSheetId="20">#REF!</definedName>
    <definedName name="ftxs5" localSheetId="11">#REF!</definedName>
    <definedName name="ftxs5">#REF!</definedName>
    <definedName name="F产品">#REF!</definedName>
    <definedName name="gg" localSheetId="6">#REF!</definedName>
    <definedName name="gg" localSheetId="10">#REF!</definedName>
    <definedName name="gg" localSheetId="20">#REF!</definedName>
    <definedName name="gg" localSheetId="11">#REF!</definedName>
    <definedName name="gg">#REF!</definedName>
    <definedName name="good" hidden="1">{#N/A,#N/A,FALSE,"Aging Summary";#N/A,#N/A,FALSE,"Ratio Analysis";#N/A,#N/A,FALSE,"Test 120 Day Accts";#N/A,#N/A,FALSE,"Tickmarks"}</definedName>
    <definedName name="G产品">#REF!</definedName>
    <definedName name="HiddenStaffAveGP" localSheetId="6">#REF!</definedName>
    <definedName name="HiddenStaffAveGP" localSheetId="10">#REF!</definedName>
    <definedName name="HiddenStaffAveGP" localSheetId="20">#REF!</definedName>
    <definedName name="HiddenStaffAveGP" localSheetId="11">#REF!</definedName>
    <definedName name="HiddenStaffAveGP">#REF!</definedName>
    <definedName name="HiddenStaffAveOPBITDA" localSheetId="6">#REF!</definedName>
    <definedName name="HiddenStaffAveOPBITDA" localSheetId="10">#REF!</definedName>
    <definedName name="HiddenStaffAveOPBITDA" localSheetId="20">#REF!</definedName>
    <definedName name="HiddenStaffAveOPBITDA" localSheetId="11">#REF!</definedName>
    <definedName name="HiddenStaffAveOPBITDA">#REF!</definedName>
    <definedName name="HiddenStaffAveOpProfit" localSheetId="6">#REF!</definedName>
    <definedName name="HiddenStaffAveOpProfit" localSheetId="10">#REF!</definedName>
    <definedName name="HiddenStaffAveOpProfit" localSheetId="20">#REF!</definedName>
    <definedName name="HiddenStaffAveOpProfit" localSheetId="11">#REF!</definedName>
    <definedName name="HiddenStaffAveOpProfit">#REF!</definedName>
    <definedName name="HK" localSheetId="6">#REF!</definedName>
    <definedName name="HK" localSheetId="10">#REF!</definedName>
    <definedName name="HK" localSheetId="20">#REF!</definedName>
    <definedName name="HK" localSheetId="11">#REF!</definedName>
    <definedName name="HK">#REF!</definedName>
    <definedName name="H产品">#REF!</definedName>
    <definedName name="je" localSheetId="6">#REF!</definedName>
    <definedName name="je" localSheetId="10">#REF!</definedName>
    <definedName name="je" localSheetId="20">#REF!</definedName>
    <definedName name="je" localSheetId="11">#REF!</definedName>
    <definedName name="je">#REF!</definedName>
    <definedName name="km" localSheetId="6">#REF!</definedName>
    <definedName name="km" localSheetId="10">#REF!</definedName>
    <definedName name="km" localSheetId="20">#REF!</definedName>
    <definedName name="km" localSheetId="11">#REF!</definedName>
    <definedName name="km">#REF!</definedName>
    <definedName name="kyx" localSheetId="6">#REF!</definedName>
    <definedName name="kyx" localSheetId="10">#REF!</definedName>
    <definedName name="kyx" localSheetId="19">#REF!</definedName>
    <definedName name="kyx" localSheetId="20">#REF!</definedName>
    <definedName name="kyx" localSheetId="11">#REF!</definedName>
    <definedName name="kyx">#REF!</definedName>
    <definedName name="kyxz" localSheetId="6">#REF!</definedName>
    <definedName name="kyxz" localSheetId="10">#REF!</definedName>
    <definedName name="kyxz" localSheetId="19">#REF!</definedName>
    <definedName name="kyxz" localSheetId="20">#REF!</definedName>
    <definedName name="kyxz" localSheetId="11">#REF!</definedName>
    <definedName name="kyxz">#REF!</definedName>
    <definedName name="K版本" localSheetId="20">#REF!</definedName>
    <definedName name="K版本" localSheetId="11">#REF!</definedName>
    <definedName name="K版本">#REF!</definedName>
    <definedName name="K合并组" localSheetId="20">#REF!</definedName>
    <definedName name="K合并组" localSheetId="11">#REF!</definedName>
    <definedName name="K合并组">#REF!</definedName>
    <definedName name="K会计年度期间" localSheetId="20">#REF!</definedName>
    <definedName name="K会计年度期间" localSheetId="11">#REF!</definedName>
    <definedName name="K会计年度期间">#REF!</definedName>
    <definedName name="K日历年季度" localSheetId="20">#REF!</definedName>
    <definedName name="K日历年季度" localSheetId="11">#REF!</definedName>
    <definedName name="K日历年季度">#REF!</definedName>
    <definedName name="K现金过渡" localSheetId="11">#REF!</definedName>
    <definedName name="K现金过渡">#REF!</definedName>
    <definedName name="K项目" localSheetId="20">#REF!</definedName>
    <definedName name="K项目" localSheetId="11">#REF!</definedName>
    <definedName name="K项目">#REF!</definedName>
    <definedName name="LAT" localSheetId="11">#REF!</definedName>
    <definedName name="LAT">#REF!</definedName>
    <definedName name="lixi">#REF!</definedName>
    <definedName name="lk" localSheetId="6">#REF!</definedName>
    <definedName name="lk" localSheetId="10">#REF!</definedName>
    <definedName name="lk" localSheetId="20">#REF!</definedName>
    <definedName name="lk" localSheetId="11">#REF!</definedName>
    <definedName name="lk">#REF!</definedName>
    <definedName name="LP" localSheetId="6">#REF!</definedName>
    <definedName name="LP" localSheetId="10">#REF!</definedName>
    <definedName name="LP" localSheetId="20">#REF!</definedName>
    <definedName name="LP" localSheetId="11">#REF!</definedName>
    <definedName name="LP">#REF!</definedName>
    <definedName name="ltc" hidden="1">{#N/A,#N/A,FALSE,"Aging Summary";#N/A,#N/A,FALSE,"Ratio Analysis";#N/A,#N/A,FALSE,"Test 120 Day Accts";#N/A,#N/A,FALSE,"Tickmarks"}</definedName>
    <definedName name="LX" hidden="1">{#N/A,#N/A,FALSE,"资产负债表";#N/A,#N/A,FALSE,"资产负债表"}</definedName>
    <definedName name="MING" localSheetId="6">#REF!</definedName>
    <definedName name="MING" localSheetId="10">#REF!</definedName>
    <definedName name="MING" localSheetId="20">#REF!</definedName>
    <definedName name="MING" localSheetId="11">#REF!</definedName>
    <definedName name="MING">#REF!</definedName>
    <definedName name="mj_1" localSheetId="6">#REF!</definedName>
    <definedName name="mj_1" localSheetId="10">#REF!</definedName>
    <definedName name="mj_1" localSheetId="20">#REF!</definedName>
    <definedName name="mj_1" localSheetId="11">#REF!</definedName>
    <definedName name="mj_1">#REF!</definedName>
    <definedName name="mj_2" localSheetId="6">#REF!</definedName>
    <definedName name="mj_2" localSheetId="10">#REF!</definedName>
    <definedName name="mj_2" localSheetId="20">#REF!</definedName>
    <definedName name="mj_2" localSheetId="11">#REF!</definedName>
    <definedName name="mj_2">#REF!</definedName>
    <definedName name="mj_3" localSheetId="6">#REF!</definedName>
    <definedName name="mj_3" localSheetId="10">#REF!</definedName>
    <definedName name="mj_3" localSheetId="20">#REF!</definedName>
    <definedName name="mj_3" localSheetId="11">#REF!</definedName>
    <definedName name="mj_3">#REF!</definedName>
    <definedName name="mj_4" localSheetId="6">#REF!</definedName>
    <definedName name="mj_4" localSheetId="10">#REF!</definedName>
    <definedName name="mj_4" localSheetId="20">#REF!</definedName>
    <definedName name="mj_4" localSheetId="11">#REF!</definedName>
    <definedName name="mj_4">#REF!</definedName>
    <definedName name="mm" localSheetId="6">#REF!</definedName>
    <definedName name="mm" localSheetId="10">#REF!</definedName>
    <definedName name="mm" localSheetId="20">#REF!</definedName>
    <definedName name="mm" localSheetId="11">#REF!</definedName>
    <definedName name="mm">#REF!</definedName>
    <definedName name="MoreItems" localSheetId="1">#REF!</definedName>
    <definedName name="MoreItems" localSheetId="6">#REF!</definedName>
    <definedName name="MoreItems" localSheetId="10">#REF!</definedName>
    <definedName name="MoreItems" localSheetId="2">#REF!</definedName>
    <definedName name="MoreItems" localSheetId="3">#REF!</definedName>
    <definedName name="MoreItems" localSheetId="19">#REF!</definedName>
    <definedName name="MoreItems" localSheetId="20">#REF!</definedName>
    <definedName name="MoreItems" localSheetId="4">#REF!</definedName>
    <definedName name="MoreItems" localSheetId="11">#REF!</definedName>
    <definedName name="MoreItems">#REF!</definedName>
    <definedName name="Net_operating_PY" localSheetId="20">#REF!</definedName>
    <definedName name="Net_operating_PY" localSheetId="11">#REF!</definedName>
    <definedName name="Net_operating_PY">#REF!</definedName>
    <definedName name="ok" localSheetId="6">#REF!</definedName>
    <definedName name="ok" localSheetId="10">#REF!</definedName>
    <definedName name="ok" localSheetId="20">#REF!</definedName>
    <definedName name="ok" localSheetId="11">#REF!</definedName>
    <definedName name="ok">#REF!</definedName>
    <definedName name="OLE_LINK1" localSheetId="6">#REF!</definedName>
    <definedName name="OLE_LINK1" localSheetId="10">#REF!</definedName>
    <definedName name="OLE_LINK1" localSheetId="20">#REF!</definedName>
    <definedName name="OLE_LINK1" localSheetId="11">#REF!</definedName>
    <definedName name="OLE_LINK1">#REF!</definedName>
    <definedName name="onfld" localSheetId="6">#REF!</definedName>
    <definedName name="onfld" localSheetId="10">#REF!</definedName>
    <definedName name="onfld" localSheetId="20">#REF!</definedName>
    <definedName name="onfld" localSheetId="11">#REF!</definedName>
    <definedName name="onfld">#REF!</definedName>
    <definedName name="OPBITDAConsol" localSheetId="6">#REF!</definedName>
    <definedName name="OPBITDAConsol" localSheetId="10">#REF!</definedName>
    <definedName name="OPBITDAConsol" localSheetId="20">#REF!</definedName>
    <definedName name="OPBITDAConsol" localSheetId="11">#REF!</definedName>
    <definedName name="OPBITDAConsol">#REF!</definedName>
    <definedName name="OPDetailsReportName" localSheetId="6">#REF!</definedName>
    <definedName name="OPDetailsReportName" localSheetId="10">#REF!</definedName>
    <definedName name="OPDetailsReportName" localSheetId="20">#REF!</definedName>
    <definedName name="OPDetailsReportName" localSheetId="11">#REF!</definedName>
    <definedName name="OPDetailsReportName">#REF!</definedName>
    <definedName name="O清空数据" localSheetId="6">OFFSET(O售价分析开始,0,0,105,30)</definedName>
    <definedName name="O清空数据" localSheetId="10">OFFSET(O售价分析开始,0,0,105,30)</definedName>
    <definedName name="O清空数据" localSheetId="11">OFFSET([0]!O售价分析开始,0,0,105,30)</definedName>
    <definedName name="O清空数据">OFFSET(O售价分析开始,0,0,105,30)</definedName>
    <definedName name="O售价分析开始" localSheetId="11">#REF!</definedName>
    <definedName name="O售价分析开始">#REF!</definedName>
    <definedName name="P_L_FinancingExp" localSheetId="6">#REF!</definedName>
    <definedName name="P_L_FinancingExp" localSheetId="10">#REF!</definedName>
    <definedName name="P_L_FinancingExp" localSheetId="20">#REF!</definedName>
    <definedName name="P_L_FinancingExp" localSheetId="11">#REF!</definedName>
    <definedName name="P_L_FinancingExp">#REF!</definedName>
    <definedName name="P_L_GAExp" localSheetId="6">#REF!</definedName>
    <definedName name="P_L_GAExp" localSheetId="10">#REF!</definedName>
    <definedName name="P_L_GAExp" localSheetId="20">#REF!</definedName>
    <definedName name="P_L_GAExp" localSheetId="11">#REF!</definedName>
    <definedName name="P_L_GAExp">#REF!</definedName>
    <definedName name="P_L_InterestIncome" localSheetId="6">#REF!</definedName>
    <definedName name="P_L_InterestIncome" localSheetId="10">#REF!</definedName>
    <definedName name="P_L_InterestIncome" localSheetId="20">#REF!</definedName>
    <definedName name="P_L_InterestIncome" localSheetId="11">#REF!</definedName>
    <definedName name="P_L_InterestIncome">#REF!</definedName>
    <definedName name="P_L_OpCost" localSheetId="6">#REF!</definedName>
    <definedName name="P_L_OpCost" localSheetId="10">#REF!</definedName>
    <definedName name="P_L_OpCost" localSheetId="20">#REF!</definedName>
    <definedName name="P_L_OpCost" localSheetId="11">#REF!</definedName>
    <definedName name="P_L_OpCost">#REF!</definedName>
    <definedName name="P_L_OtherNonOpExp" localSheetId="6">#REF!</definedName>
    <definedName name="P_L_OtherNonOpExp" localSheetId="10">#REF!</definedName>
    <definedName name="P_L_OtherNonOpExp" localSheetId="20">#REF!</definedName>
    <definedName name="P_L_OtherNonOpExp" localSheetId="11">#REF!</definedName>
    <definedName name="P_L_OtherNonOpExp">#REF!</definedName>
    <definedName name="P_L_OtherNonOpIncome" localSheetId="6">#REF!</definedName>
    <definedName name="P_L_OtherNonOpIncome" localSheetId="10">#REF!</definedName>
    <definedName name="P_L_OtherNonOpIncome" localSheetId="20">#REF!</definedName>
    <definedName name="P_L_OtherNonOpIncome" localSheetId="11">#REF!</definedName>
    <definedName name="P_L_OtherNonOpIncome">#REF!</definedName>
    <definedName name="P_L_OtherOpExp" localSheetId="6">#REF!</definedName>
    <definedName name="P_L_OtherOpExp" localSheetId="10">#REF!</definedName>
    <definedName name="P_L_OtherOpExp" localSheetId="20">#REF!</definedName>
    <definedName name="P_L_OtherOpExp" localSheetId="11">#REF!</definedName>
    <definedName name="P_L_OtherOpExp">#REF!</definedName>
    <definedName name="P_L_OtherOpIncome" localSheetId="6">#REF!</definedName>
    <definedName name="P_L_OtherOpIncome" localSheetId="10">#REF!</definedName>
    <definedName name="P_L_OtherOpIncome" localSheetId="20">#REF!</definedName>
    <definedName name="P_L_OtherOpIncome" localSheetId="11">#REF!</definedName>
    <definedName name="P_L_OtherOpIncome">#REF!</definedName>
    <definedName name="P_L_SalesExp" localSheetId="6">#REF!</definedName>
    <definedName name="P_L_SalesExp" localSheetId="10">#REF!</definedName>
    <definedName name="P_L_SalesExp" localSheetId="20">#REF!</definedName>
    <definedName name="P_L_SalesExp" localSheetId="11">#REF!</definedName>
    <definedName name="P_L_SalesExp">#REF!</definedName>
    <definedName name="P_L2_Depreciation" localSheetId="6">#REF!</definedName>
    <definedName name="P_L2_Depreciation" localSheetId="10">#REF!</definedName>
    <definedName name="P_L2_Depreciation" localSheetId="20">#REF!</definedName>
    <definedName name="P_L2_Depreciation" localSheetId="11">#REF!</definedName>
    <definedName name="P_L2_Depreciation">#REF!</definedName>
    <definedName name="P_L2_FinancingExp" localSheetId="6">#REF!</definedName>
    <definedName name="P_L2_FinancingExp" localSheetId="10">#REF!</definedName>
    <definedName name="P_L2_FinancingExp" localSheetId="20">#REF!</definedName>
    <definedName name="P_L2_FinancingExp" localSheetId="11">#REF!</definedName>
    <definedName name="P_L2_FinancingExp">#REF!</definedName>
    <definedName name="P_L2_GAExp" localSheetId="6">#REF!</definedName>
    <definedName name="P_L2_GAExp" localSheetId="10">#REF!</definedName>
    <definedName name="P_L2_GAExp" localSheetId="20">#REF!</definedName>
    <definedName name="P_L2_GAExp" localSheetId="11">#REF!</definedName>
    <definedName name="P_L2_GAExp">#REF!</definedName>
    <definedName name="P_L2_InterestIncome" localSheetId="6">#REF!</definedName>
    <definedName name="P_L2_InterestIncome" localSheetId="10">#REF!</definedName>
    <definedName name="P_L2_InterestIncome" localSheetId="20">#REF!</definedName>
    <definedName name="P_L2_InterestIncome" localSheetId="11">#REF!</definedName>
    <definedName name="P_L2_InterestIncome">#REF!</definedName>
    <definedName name="P_L2_OpCost" localSheetId="6">#REF!</definedName>
    <definedName name="P_L2_OpCost" localSheetId="10">#REF!</definedName>
    <definedName name="P_L2_OpCost" localSheetId="20">#REF!</definedName>
    <definedName name="P_L2_OpCost" localSheetId="11">#REF!</definedName>
    <definedName name="P_L2_OpCost">#REF!</definedName>
    <definedName name="P_L2_OtherNonOpExp" localSheetId="6">#REF!</definedName>
    <definedName name="P_L2_OtherNonOpExp" localSheetId="10">#REF!</definedName>
    <definedName name="P_L2_OtherNonOpExp" localSheetId="20">#REF!</definedName>
    <definedName name="P_L2_OtherNonOpExp" localSheetId="11">#REF!</definedName>
    <definedName name="P_L2_OtherNonOpExp">#REF!</definedName>
    <definedName name="P_L2_OtherNonOpIncome" localSheetId="6">#REF!</definedName>
    <definedName name="P_L2_OtherNonOpIncome" localSheetId="10">#REF!</definedName>
    <definedName name="P_L2_OtherNonOpIncome" localSheetId="20">#REF!</definedName>
    <definedName name="P_L2_OtherNonOpIncome" localSheetId="11">#REF!</definedName>
    <definedName name="P_L2_OtherNonOpIncome">#REF!</definedName>
    <definedName name="P_L2_OtherOpExp" localSheetId="6">#REF!</definedName>
    <definedName name="P_L2_OtherOpExp" localSheetId="10">#REF!</definedName>
    <definedName name="P_L2_OtherOpExp" localSheetId="20">#REF!</definedName>
    <definedName name="P_L2_OtherOpExp" localSheetId="11">#REF!</definedName>
    <definedName name="P_L2_OtherOpExp">#REF!</definedName>
    <definedName name="P_L2_OtherOpIncome" localSheetId="6">#REF!</definedName>
    <definedName name="P_L2_OtherOpIncome" localSheetId="10">#REF!</definedName>
    <definedName name="P_L2_OtherOpIncome" localSheetId="20">#REF!</definedName>
    <definedName name="P_L2_OtherOpIncome" localSheetId="11">#REF!</definedName>
    <definedName name="P_L2_OtherOpIncome">#REF!</definedName>
    <definedName name="P_L2_SalesExp" localSheetId="6">#REF!</definedName>
    <definedName name="P_L2_SalesExp" localSheetId="10">#REF!</definedName>
    <definedName name="P_L2_SalesExp" localSheetId="20">#REF!</definedName>
    <definedName name="P_L2_SalesExp" localSheetId="11">#REF!</definedName>
    <definedName name="P_L2_SalesExp">#REF!</definedName>
    <definedName name="PCName" localSheetId="11">#REF!</definedName>
    <definedName name="PCName">#REF!</definedName>
    <definedName name="peint_titiles5" localSheetId="6">#REF!,#REF!</definedName>
    <definedName name="peint_titiles5" localSheetId="10">#REF!,#REF!</definedName>
    <definedName name="peint_titiles5" localSheetId="20">#REF!,#REF!</definedName>
    <definedName name="peint_titiles5" localSheetId="11">#REF!,#REF!</definedName>
    <definedName name="peint_titiles5">#REF!,#REF!</definedName>
    <definedName name="pnl" localSheetId="6">#REF!</definedName>
    <definedName name="pnl" localSheetId="10">#REF!</definedName>
    <definedName name="pnl" localSheetId="20">#REF!</definedName>
    <definedName name="pnl" localSheetId="11">#REF!</definedName>
    <definedName name="pnl">#REF!</definedName>
    <definedName name="pnl_property" localSheetId="6">#REF!</definedName>
    <definedName name="pnl_property" localSheetId="10">#REF!</definedName>
    <definedName name="pnl_property" localSheetId="20">#REF!</definedName>
    <definedName name="pnl_property" localSheetId="11">#REF!</definedName>
    <definedName name="pnl_property">#REF!</definedName>
    <definedName name="PPPP" localSheetId="6">#REF!</definedName>
    <definedName name="PPPP" localSheetId="10">#REF!</definedName>
    <definedName name="PPPP" localSheetId="20">#REF!</definedName>
    <definedName name="PPPP" localSheetId="11">#REF!</definedName>
    <definedName name="PPPP">#REF!</definedName>
    <definedName name="prin8" localSheetId="6">#REF!</definedName>
    <definedName name="prin8" localSheetId="10">#REF!</definedName>
    <definedName name="prin8" localSheetId="20">#REF!</definedName>
    <definedName name="prin8" localSheetId="11">#REF!</definedName>
    <definedName name="prin8">#REF!</definedName>
    <definedName name="_xlnm.Print_Area" localSheetId="1">'0基本假设 '!$A$1:$T$79</definedName>
    <definedName name="_xlnm.Print_Area" localSheetId="6">'3.1销售情况分析'!$A$1:$Z$10</definedName>
    <definedName name="_xlnm.Print_Area" localSheetId="10">'5.1运营成本明细表'!$A$1:$Z$11</definedName>
    <definedName name="_xlnm.Print_Area" localSheetId="2">'附表1 总投资估算表（汇总)'!$A$1:$G$21</definedName>
    <definedName name="_xlnm.Print_Area" localSheetId="3">'附表1.1 总投资估算（明细）'!$A$2:$I$70</definedName>
    <definedName name="_xlnm.Print_Area" localSheetId="15">'附表10 资金来源与运用表'!$A$1:$W$28</definedName>
    <definedName name="_xlnm.Print_Area" localSheetId="16">'附表11 财务计划现金流量表'!$B$2:$X$32</definedName>
    <definedName name="_xlnm.Print_Area" localSheetId="17">'附表12 项目全投资现金流量表'!$B$1:$X$20</definedName>
    <definedName name="_xlnm.Print_Area" localSheetId="18">'附表13 项目资本金现金流量'!$B$1:$X$23</definedName>
    <definedName name="_xlnm.Print_Area" localSheetId="19">'附表14 中信建设现金流量表（优先级）'!$A$1:$X$30</definedName>
    <definedName name="_xlnm.Print_Area" localSheetId="20">'附表15中信金资现金流量表（中间级）'!$A$1:$X$29</definedName>
    <definedName name="_xlnm.Print_Area" localSheetId="4">'附表2 投资计划与资金筹措平衡表 '!$B$2:$P$25</definedName>
    <definedName name="_xlnm.Print_Area" localSheetId="5">附表3营业收入汇总表!$A$1:$W$6</definedName>
    <definedName name="_xlnm.Print_Area" localSheetId="8">'附表4 税金及附加表'!$A$1:$Y$5</definedName>
    <definedName name="_xlnm.Print_Area" localSheetId="9">'附表5 运营成本汇总表'!$A$1:$X$7</definedName>
    <definedName name="_xlnm.Print_Area" localSheetId="11">'附表6 资产折旧摊销表'!$A$1:$X$16</definedName>
    <definedName name="_xlnm.Print_Area" localSheetId="12">'附表7 银行贷款还本付息表'!$A$1:$X$28</definedName>
    <definedName name="_xlnm.Print_Area" localSheetId="13">'附表8 总成本估算表'!$A$1:$X$15</definedName>
    <definedName name="_xlnm.Print_Area" localSheetId="14">附表9利润表!$A$1:$W$51</definedName>
    <definedName name="_xlnm.Print_Area">#REF!</definedName>
    <definedName name="Print_Area_MI" localSheetId="6">#REF!</definedName>
    <definedName name="Print_Area_MI" localSheetId="10">#REF!</definedName>
    <definedName name="Print_Area_MI" localSheetId="20">#REF!</definedName>
    <definedName name="Print_Area_MI" localSheetId="11">#REF!</definedName>
    <definedName name="Print_Area_MI">#REF!</definedName>
    <definedName name="print_area1" localSheetId="6">#REF!</definedName>
    <definedName name="print_area1" localSheetId="10">#REF!</definedName>
    <definedName name="print_area1" localSheetId="20">#REF!</definedName>
    <definedName name="print_area1" localSheetId="11">#REF!</definedName>
    <definedName name="print_area1">#REF!</definedName>
    <definedName name="print_area2" localSheetId="6">#REF!</definedName>
    <definedName name="print_area2" localSheetId="10">#REF!</definedName>
    <definedName name="print_area2" localSheetId="20">#REF!</definedName>
    <definedName name="print_area2" localSheetId="11">#REF!</definedName>
    <definedName name="print_area2">#REF!</definedName>
    <definedName name="print_area3" localSheetId="6">#REF!</definedName>
    <definedName name="print_area3" localSheetId="10">#REF!</definedName>
    <definedName name="print_area3" localSheetId="20">#REF!</definedName>
    <definedName name="print_area3" localSheetId="11">#REF!</definedName>
    <definedName name="print_area3">#REF!</definedName>
    <definedName name="print_area5" localSheetId="6">#REF!</definedName>
    <definedName name="print_area5" localSheetId="10">#REF!</definedName>
    <definedName name="print_area5" localSheetId="20">#REF!</definedName>
    <definedName name="print_area5" localSheetId="11">#REF!</definedName>
    <definedName name="print_area5">#REF!</definedName>
    <definedName name="print_areaea" localSheetId="6">#REF!</definedName>
    <definedName name="print_areaea" localSheetId="10">#REF!</definedName>
    <definedName name="print_areaea" localSheetId="20">#REF!</definedName>
    <definedName name="print_areaea" localSheetId="11">#REF!</definedName>
    <definedName name="print_areaea">#REF!</definedName>
    <definedName name="_xlnm.Print_Titles" localSheetId="6">#REF!,#REF!</definedName>
    <definedName name="_xlnm.Print_Titles" localSheetId="10">#REF!,#REF!</definedName>
    <definedName name="_xlnm.Print_Titles" localSheetId="20">#REF!,#REF!</definedName>
    <definedName name="_xlnm.Print_Titles" localSheetId="8">'附表4 税金及附加表'!$B:$E,'附表4 税金及附加表'!$3:$3</definedName>
    <definedName name="_xlnm.Print_Titles" localSheetId="11">#REF!,#REF!</definedName>
    <definedName name="_xlnm.Print_Titles">#REF!,#REF!</definedName>
    <definedName name="print_titles1" localSheetId="6">#REF!,#REF!</definedName>
    <definedName name="print_titles1" localSheetId="10">#REF!,#REF!</definedName>
    <definedName name="print_titles1" localSheetId="20">#REF!,#REF!</definedName>
    <definedName name="print_titles1" localSheetId="11">#REF!,#REF!</definedName>
    <definedName name="print_titles1">#REF!,#REF!</definedName>
    <definedName name="print_titles10" localSheetId="6">#REF!,#REF!</definedName>
    <definedName name="print_titles10" localSheetId="10">#REF!,#REF!</definedName>
    <definedName name="print_titles10" localSheetId="20">#REF!,#REF!</definedName>
    <definedName name="print_titles10" localSheetId="11">#REF!,#REF!</definedName>
    <definedName name="print_titles10">#REF!,#REF!</definedName>
    <definedName name="print_titles11" localSheetId="6">#REF!,#REF!</definedName>
    <definedName name="print_titles11" localSheetId="10">#REF!,#REF!</definedName>
    <definedName name="print_titles11" localSheetId="20">#REF!,#REF!</definedName>
    <definedName name="print_titles11" localSheetId="11">#REF!,#REF!</definedName>
    <definedName name="print_titles11">#REF!,#REF!</definedName>
    <definedName name="print_titles2" localSheetId="6">#REF!,#REF!</definedName>
    <definedName name="print_titles2" localSheetId="10">#REF!,#REF!</definedName>
    <definedName name="print_titles2" localSheetId="20">#REF!,#REF!</definedName>
    <definedName name="print_titles2" localSheetId="11">#REF!,#REF!</definedName>
    <definedName name="print_titles2">#REF!,#REF!</definedName>
    <definedName name="print_titles3" localSheetId="6">#REF!,#REF!</definedName>
    <definedName name="print_titles3" localSheetId="10">#REF!,#REF!</definedName>
    <definedName name="print_titles3" localSheetId="20">#REF!,#REF!</definedName>
    <definedName name="print_titles3" localSheetId="11">#REF!,#REF!</definedName>
    <definedName name="print_titles3">#REF!,#REF!</definedName>
    <definedName name="print_titles4" localSheetId="6">#REF!,#REF!</definedName>
    <definedName name="print_titles4" localSheetId="10">#REF!,#REF!</definedName>
    <definedName name="print_titles4" localSheetId="20">#REF!,#REF!</definedName>
    <definedName name="print_titles4" localSheetId="11">#REF!,#REF!</definedName>
    <definedName name="print_titles4">#REF!,#REF!</definedName>
    <definedName name="print_titles5" localSheetId="6">#REF!,#REF!</definedName>
    <definedName name="print_titles5" localSheetId="10">#REF!,#REF!</definedName>
    <definedName name="print_titles5" localSheetId="20">#REF!,#REF!</definedName>
    <definedName name="print_titles5" localSheetId="11">#REF!,#REF!</definedName>
    <definedName name="print_titles5">#REF!,#REF!</definedName>
    <definedName name="print_titles6" localSheetId="6">#REF!,#REF!</definedName>
    <definedName name="print_titles6" localSheetId="10">#REF!,#REF!</definedName>
    <definedName name="print_titles6" localSheetId="20">#REF!,#REF!</definedName>
    <definedName name="print_titles6" localSheetId="11">#REF!,#REF!</definedName>
    <definedName name="print_titles6">#REF!,#REF!</definedName>
    <definedName name="print_titles7" localSheetId="6">#REF!,#REF!</definedName>
    <definedName name="print_titles7" localSheetId="10">#REF!,#REF!</definedName>
    <definedName name="print_titles7" localSheetId="20">#REF!,#REF!</definedName>
    <definedName name="print_titles7" localSheetId="11">#REF!,#REF!</definedName>
    <definedName name="print_titles7">#REF!,#REF!</definedName>
    <definedName name="print_titles8" localSheetId="6">#REF!,#REF!</definedName>
    <definedName name="print_titles8" localSheetId="10">#REF!,#REF!</definedName>
    <definedName name="print_titles8" localSheetId="20">#REF!,#REF!</definedName>
    <definedName name="print_titles8" localSheetId="11">#REF!,#REF!</definedName>
    <definedName name="print_titles8">#REF!,#REF!</definedName>
    <definedName name="print_titles9" localSheetId="6">#REF!,#REF!</definedName>
    <definedName name="print_titles9" localSheetId="10">#REF!,#REF!</definedName>
    <definedName name="print_titles9" localSheetId="20">#REF!,#REF!</definedName>
    <definedName name="print_titles9" localSheetId="11">#REF!,#REF!</definedName>
    <definedName name="print_titles9">#REF!,#REF!</definedName>
    <definedName name="print_titleses" localSheetId="6">#REF!,#REF!</definedName>
    <definedName name="print_titleses" localSheetId="10">#REF!,#REF!</definedName>
    <definedName name="print_titleses" localSheetId="20">#REF!,#REF!</definedName>
    <definedName name="print_titleses" localSheetId="11">#REF!,#REF!</definedName>
    <definedName name="print_titleses">#REF!,#REF!</definedName>
    <definedName name="print1" localSheetId="6">#REF!</definedName>
    <definedName name="print1" localSheetId="10">#REF!</definedName>
    <definedName name="print1" localSheetId="20">#REF!</definedName>
    <definedName name="print1" localSheetId="11">#REF!</definedName>
    <definedName name="print1">#REF!</definedName>
    <definedName name="print2" localSheetId="6">#REF!,#REF!</definedName>
    <definedName name="print2" localSheetId="10">#REF!,#REF!</definedName>
    <definedName name="print2" localSheetId="20">#REF!,#REF!</definedName>
    <definedName name="print2" localSheetId="11">#REF!,#REF!</definedName>
    <definedName name="print2">#REF!,#REF!</definedName>
    <definedName name="print3" localSheetId="6">#REF!</definedName>
    <definedName name="print3" localSheetId="10">#REF!</definedName>
    <definedName name="print3" localSheetId="20">#REF!</definedName>
    <definedName name="print3" localSheetId="11">#REF!</definedName>
    <definedName name="print3">#REF!</definedName>
    <definedName name="print4" localSheetId="6">#REF!,#REF!</definedName>
    <definedName name="print4" localSheetId="10">#REF!,#REF!</definedName>
    <definedName name="print4" localSheetId="20">#REF!,#REF!</definedName>
    <definedName name="print4" localSheetId="11">#REF!,#REF!</definedName>
    <definedName name="print4">#REF!,#REF!</definedName>
    <definedName name="print5" localSheetId="6">#REF!</definedName>
    <definedName name="print5" localSheetId="10">#REF!</definedName>
    <definedName name="print5" localSheetId="20">#REF!</definedName>
    <definedName name="print5" localSheetId="11">#REF!</definedName>
    <definedName name="print5">#REF!</definedName>
    <definedName name="print6" localSheetId="6">#REF!,#REF!</definedName>
    <definedName name="print6" localSheetId="10">#REF!,#REF!</definedName>
    <definedName name="print6" localSheetId="20">#REF!,#REF!</definedName>
    <definedName name="print6" localSheetId="11">#REF!,#REF!</definedName>
    <definedName name="print6">#REF!,#REF!</definedName>
    <definedName name="print9" localSheetId="6">#REF!,#REF!</definedName>
    <definedName name="print9" localSheetId="10">#REF!,#REF!</definedName>
    <definedName name="print9" localSheetId="20">#REF!,#REF!</definedName>
    <definedName name="print9" localSheetId="11">#REF!,#REF!</definedName>
    <definedName name="print9">#REF!,#REF!</definedName>
    <definedName name="Recorder" localSheetId="6">#REF!</definedName>
    <definedName name="Recorder" localSheetId="10">#REF!</definedName>
    <definedName name="Recorder" localSheetId="20">#REF!</definedName>
    <definedName name="Recorder" localSheetId="11">#REF!</definedName>
    <definedName name="Recorder">#REF!</definedName>
    <definedName name="recorder3" localSheetId="6" hidden="1">#REF!</definedName>
    <definedName name="recorder3" localSheetId="10" hidden="1">#REF!</definedName>
    <definedName name="recorder3" localSheetId="20" hidden="1">#REF!</definedName>
    <definedName name="recorder3" localSheetId="11" hidden="1">#REF!</definedName>
    <definedName name="recorder3" hidden="1">#REF!</definedName>
    <definedName name="Ref_1" localSheetId="6">#REF!</definedName>
    <definedName name="Ref_1" localSheetId="10">#REF!</definedName>
    <definedName name="Ref_1" localSheetId="20">#REF!</definedName>
    <definedName name="Ref_1" localSheetId="11">#REF!</definedName>
    <definedName name="Ref_1">#REF!</definedName>
    <definedName name="Ref_10" localSheetId="6">#REF!</definedName>
    <definedName name="Ref_10" localSheetId="10">#REF!</definedName>
    <definedName name="Ref_10" localSheetId="20">#REF!</definedName>
    <definedName name="Ref_10" localSheetId="11">#REF!</definedName>
    <definedName name="Ref_10">#REF!</definedName>
    <definedName name="Ref_11" localSheetId="6">#REF!</definedName>
    <definedName name="Ref_11" localSheetId="10">#REF!</definedName>
    <definedName name="Ref_11" localSheetId="20">#REF!</definedName>
    <definedName name="Ref_11" localSheetId="11">#REF!</definedName>
    <definedName name="Ref_11">#REF!</definedName>
    <definedName name="Ref_12" localSheetId="6">#REF!</definedName>
    <definedName name="Ref_12" localSheetId="10">#REF!</definedName>
    <definedName name="Ref_12" localSheetId="20">#REF!</definedName>
    <definedName name="Ref_12" localSheetId="11">#REF!</definedName>
    <definedName name="Ref_12">#REF!</definedName>
    <definedName name="Ref_13" localSheetId="6">#REF!</definedName>
    <definedName name="Ref_13" localSheetId="10">#REF!</definedName>
    <definedName name="Ref_13" localSheetId="20">#REF!</definedName>
    <definedName name="Ref_13" localSheetId="11">#REF!</definedName>
    <definedName name="Ref_13">#REF!</definedName>
    <definedName name="Ref_14" localSheetId="6">#REF!</definedName>
    <definedName name="Ref_14" localSheetId="10">#REF!</definedName>
    <definedName name="Ref_14" localSheetId="20">#REF!</definedName>
    <definedName name="Ref_14" localSheetId="11">#REF!</definedName>
    <definedName name="Ref_14">#REF!</definedName>
    <definedName name="Ref_17" localSheetId="6">#REF!</definedName>
    <definedName name="Ref_17" localSheetId="10">#REF!</definedName>
    <definedName name="Ref_17" localSheetId="20">#REF!</definedName>
    <definedName name="Ref_17" localSheetId="11">#REF!</definedName>
    <definedName name="Ref_17">#REF!</definedName>
    <definedName name="Ref_2" localSheetId="6">#REF!</definedName>
    <definedName name="Ref_2" localSheetId="10">#REF!</definedName>
    <definedName name="Ref_2" localSheetId="20">#REF!</definedName>
    <definedName name="Ref_2" localSheetId="11">#REF!</definedName>
    <definedName name="Ref_2">#REF!</definedName>
    <definedName name="Ref_21" localSheetId="20">#REF!</definedName>
    <definedName name="Ref_21" localSheetId="11">#REF!</definedName>
    <definedName name="Ref_21">#REF!</definedName>
    <definedName name="Ref_23" localSheetId="6">#REF!</definedName>
    <definedName name="Ref_23" localSheetId="10">#REF!</definedName>
    <definedName name="Ref_23" localSheetId="20">#REF!</definedName>
    <definedName name="Ref_23" localSheetId="11">#REF!</definedName>
    <definedName name="Ref_23">#REF!</definedName>
    <definedName name="Ref_24" localSheetId="20">#REF!</definedName>
    <definedName name="Ref_24" localSheetId="11">#REF!</definedName>
    <definedName name="Ref_24">#REF!</definedName>
    <definedName name="Ref_25" localSheetId="6">#REF!</definedName>
    <definedName name="Ref_25" localSheetId="10">#REF!</definedName>
    <definedName name="Ref_25" localSheetId="20">#REF!</definedName>
    <definedName name="Ref_25" localSheetId="11">#REF!</definedName>
    <definedName name="Ref_25">#REF!</definedName>
    <definedName name="Ref_3" localSheetId="6">#REF!</definedName>
    <definedName name="Ref_3" localSheetId="10">#REF!</definedName>
    <definedName name="Ref_3" localSheetId="20">#REF!</definedName>
    <definedName name="Ref_3" localSheetId="11">#REF!</definedName>
    <definedName name="Ref_3">#REF!</definedName>
    <definedName name="Ref_4" localSheetId="6">#REF!</definedName>
    <definedName name="Ref_4" localSheetId="10">#REF!</definedName>
    <definedName name="Ref_4" localSheetId="20">#REF!</definedName>
    <definedName name="Ref_4" localSheetId="11">#REF!</definedName>
    <definedName name="Ref_4">#REF!</definedName>
    <definedName name="Ref_5" localSheetId="6">#REF!</definedName>
    <definedName name="Ref_5" localSheetId="10">#REF!</definedName>
    <definedName name="Ref_5" localSheetId="20">#REF!</definedName>
    <definedName name="Ref_5" localSheetId="11">#REF!</definedName>
    <definedName name="Ref_5">#REF!</definedName>
    <definedName name="Ref_6" localSheetId="6">#REF!</definedName>
    <definedName name="Ref_6" localSheetId="10">#REF!</definedName>
    <definedName name="Ref_6" localSheetId="20">#REF!</definedName>
    <definedName name="Ref_6" localSheetId="11">#REF!</definedName>
    <definedName name="Ref_6">#REF!</definedName>
    <definedName name="Ref_7" localSheetId="6">#REF!</definedName>
    <definedName name="Ref_7" localSheetId="10">#REF!</definedName>
    <definedName name="Ref_7" localSheetId="20">#REF!</definedName>
    <definedName name="Ref_7" localSheetId="11">#REF!</definedName>
    <definedName name="Ref_7">#REF!</definedName>
    <definedName name="Ref_8" localSheetId="6">#REF!</definedName>
    <definedName name="Ref_8" localSheetId="10">#REF!</definedName>
    <definedName name="Ref_8" localSheetId="20">#REF!</definedName>
    <definedName name="Ref_8" localSheetId="11">#REF!</definedName>
    <definedName name="Ref_8">#REF!</definedName>
    <definedName name="Ref_9" localSheetId="6">#REF!</definedName>
    <definedName name="Ref_9" localSheetId="10">#REF!</definedName>
    <definedName name="Ref_9" localSheetId="20">#REF!</definedName>
    <definedName name="Ref_9" localSheetId="11">#REF!</definedName>
    <definedName name="Ref_9">#REF!</definedName>
    <definedName name="rehtrhtrhtr" hidden="1">{#N/A,#N/A,FALSE,"Aging Summary";#N/A,#N/A,FALSE,"Ratio Analysis";#N/A,#N/A,FALSE,"Test 120 Day Accts";#N/A,#N/A,FALSE,"Tickmarks"}</definedName>
    <definedName name="RentalPaymentToCRCProp" localSheetId="6">#REF!</definedName>
    <definedName name="RentalPaymentToCRCProp" localSheetId="10">#REF!</definedName>
    <definedName name="RentalPaymentToCRCProp" localSheetId="20">#REF!</definedName>
    <definedName name="RentalPaymentToCRCProp" localSheetId="11">#REF!</definedName>
    <definedName name="RentalPaymentToCRCProp">#REF!</definedName>
    <definedName name="RentalPaymentToCRCProp_5_2" localSheetId="6">#REF!</definedName>
    <definedName name="RentalPaymentToCRCProp_5_2" localSheetId="10">#REF!</definedName>
    <definedName name="RentalPaymentToCRCProp_5_2" localSheetId="20">#REF!</definedName>
    <definedName name="RentalPaymentToCRCProp_5_2" localSheetId="11">#REF!</definedName>
    <definedName name="RentalPaymentToCRCProp_5_2">#REF!</definedName>
    <definedName name="ReportDate">#REF!</definedName>
    <definedName name="ReportType" localSheetId="11">#REF!</definedName>
    <definedName name="ReportType">#REF!</definedName>
    <definedName name="ReportYearRange" localSheetId="11">#REF!</definedName>
    <definedName name="ReportYearRange">#REF!</definedName>
    <definedName name="rr" localSheetId="6">#REF!</definedName>
    <definedName name="rr" localSheetId="10">#REF!</definedName>
    <definedName name="rr" localSheetId="20">#REF!</definedName>
    <definedName name="rr" localSheetId="11">#REF!</definedName>
    <definedName name="rr">#REF!</definedName>
    <definedName name="rt" localSheetId="6">#REF!</definedName>
    <definedName name="rt" localSheetId="10">#REF!</definedName>
    <definedName name="rt" localSheetId="20">#REF!</definedName>
    <definedName name="rt" localSheetId="11">#REF!</definedName>
    <definedName name="rt">#REF!</definedName>
    <definedName name="s" localSheetId="11">#REF!</definedName>
    <definedName name="s">#REF!</definedName>
    <definedName name="SAPBEXrevision" hidden="1">4</definedName>
    <definedName name="SAPBEXsysID" hidden="1">"BW1"</definedName>
    <definedName name="SAPBEXwbID" hidden="1">"8DZFG4M4NA6MVVGNLO7J4SRAY"</definedName>
    <definedName name="sasa1" localSheetId="6">#REF!</definedName>
    <definedName name="sasa1" localSheetId="10">#REF!</definedName>
    <definedName name="sasa1" localSheetId="20">#REF!</definedName>
    <definedName name="sasa1" localSheetId="11">#REF!</definedName>
    <definedName name="sasa1">#REF!</definedName>
    <definedName name="sasa5" localSheetId="6">#REF!</definedName>
    <definedName name="sasa5" localSheetId="10">#REF!</definedName>
    <definedName name="sasa5" localSheetId="20">#REF!</definedName>
    <definedName name="sasa5" localSheetId="11">#REF!</definedName>
    <definedName name="sasa5">#REF!</definedName>
    <definedName name="sasf3" localSheetId="6">#REF!</definedName>
    <definedName name="sasf3" localSheetId="10">#REF!</definedName>
    <definedName name="sasf3" localSheetId="20">#REF!</definedName>
    <definedName name="sasf3" localSheetId="11">#REF!</definedName>
    <definedName name="sasf3">#REF!</definedName>
    <definedName name="sasf6" localSheetId="6">#REF!</definedName>
    <definedName name="sasf6" localSheetId="10">#REF!</definedName>
    <definedName name="sasf6" localSheetId="20">#REF!</definedName>
    <definedName name="sasf6" localSheetId="11">#REF!</definedName>
    <definedName name="sasf6">#REF!</definedName>
    <definedName name="sasfds4" localSheetId="6">#REF!</definedName>
    <definedName name="sasfds4" localSheetId="10">#REF!</definedName>
    <definedName name="sasfds4" localSheetId="20">#REF!</definedName>
    <definedName name="sasfds4" localSheetId="11">#REF!</definedName>
    <definedName name="sasfds4">#REF!</definedName>
    <definedName name="sasswws" localSheetId="6">#REF!</definedName>
    <definedName name="sasswws" localSheetId="10">#REF!</definedName>
    <definedName name="sasswws" localSheetId="20">#REF!</definedName>
    <definedName name="sasswws" localSheetId="11">#REF!</definedName>
    <definedName name="sasswws">#REF!</definedName>
    <definedName name="sdfadsfradsfadsfq" hidden="1">{#N/A,#N/A,FALSE,"Aging Summary";#N/A,#N/A,FALSE,"Ratio Analysis";#N/A,#N/A,FALSE,"Test 120 Day Accts";#N/A,#N/A,FALSE,"Tickmarks"}</definedName>
    <definedName name="sdsd" localSheetId="6">#REF!</definedName>
    <definedName name="sdsd" localSheetId="10">#REF!</definedName>
    <definedName name="sdsd" localSheetId="20">#REF!</definedName>
    <definedName name="sdsd" localSheetId="11">#REF!</definedName>
    <definedName name="sdsd">#REF!</definedName>
    <definedName name="sdsfds3" localSheetId="6">#REF!</definedName>
    <definedName name="sdsfds3" localSheetId="10">#REF!</definedName>
    <definedName name="sdsfds3" localSheetId="20">#REF!</definedName>
    <definedName name="sdsfds3" localSheetId="11">#REF!</definedName>
    <definedName name="sdsfds3">#REF!</definedName>
    <definedName name="sdsfdsfdsf" localSheetId="6">#REF!</definedName>
    <definedName name="sdsfdsfdsf" localSheetId="10">#REF!</definedName>
    <definedName name="sdsfdsfdsf" localSheetId="20">#REF!</definedName>
    <definedName name="sdsfdsfdsf" localSheetId="11">#REF!</definedName>
    <definedName name="sdsfdsfdsf">#REF!</definedName>
    <definedName name="sdsfdsfdsfs" localSheetId="6">#REF!</definedName>
    <definedName name="sdsfdsfdsfs" localSheetId="10">#REF!</definedName>
    <definedName name="sdsfdsfdsfs" localSheetId="20">#REF!</definedName>
    <definedName name="sdsfdsfdsfs" localSheetId="11">#REF!</definedName>
    <definedName name="sdsfdsfdsfs">#REF!</definedName>
    <definedName name="sdsfdsfdsfsfsf" localSheetId="6">#REF!</definedName>
    <definedName name="sdsfdsfdsfsfsf" localSheetId="10">#REF!</definedName>
    <definedName name="sdsfdsfdsfsfsf" localSheetId="20">#REF!</definedName>
    <definedName name="sdsfdsfdsfsfsf" localSheetId="11">#REF!</definedName>
    <definedName name="sdsfdsfdsfsfsf">#REF!</definedName>
    <definedName name="sgfrfsgfrg" hidden="1">{#N/A,#N/A,FALSE,"Aging Summary";#N/A,#N/A,FALSE,"Ratio Analysis";#N/A,#N/A,FALSE,"Test 120 Day Accts";#N/A,#N/A,FALSE,"Tickmarks"}</definedName>
    <definedName name="Sheet1" localSheetId="6">#REF!</definedName>
    <definedName name="Sheet1" localSheetId="10">#REF!</definedName>
    <definedName name="Sheet1" localSheetId="20">#REF!</definedName>
    <definedName name="Sheet1" localSheetId="11">#REF!</definedName>
    <definedName name="Sheet1">#REF!</definedName>
    <definedName name="SJFD" localSheetId="20">#REF!</definedName>
    <definedName name="SJFD">#REF!</definedName>
    <definedName name="SRXS" localSheetId="6">#REF!</definedName>
    <definedName name="SRXS" localSheetId="10">#REF!</definedName>
    <definedName name="SRXS" localSheetId="20">#REF!</definedName>
    <definedName name="SRXS" localSheetId="11">#REF!</definedName>
    <definedName name="SRXS">#REF!</definedName>
    <definedName name="ss" localSheetId="20">#REF!</definedName>
    <definedName name="ss">#REF!</definedName>
    <definedName name="ssss" localSheetId="20">#REF!</definedName>
    <definedName name="ssss">#REF!</definedName>
    <definedName name="StaffTotalNo" localSheetId="6">#REF!</definedName>
    <definedName name="StaffTotalNo" localSheetId="10">#REF!</definedName>
    <definedName name="StaffTotalNo" localSheetId="20">#REF!</definedName>
    <definedName name="StaffTotalNo" localSheetId="11">#REF!</definedName>
    <definedName name="StaffTotalNo">#REF!</definedName>
    <definedName name="SUMIF" localSheetId="1">#REF!</definedName>
    <definedName name="SUMIF" localSheetId="6">#REF!</definedName>
    <definedName name="SUMIF" localSheetId="10">#REF!</definedName>
    <definedName name="SUMIF" localSheetId="2">#REF!</definedName>
    <definedName name="SUMIF" localSheetId="3">#REF!</definedName>
    <definedName name="SUMIF" localSheetId="19">#REF!</definedName>
    <definedName name="SUMIF" localSheetId="20">#REF!</definedName>
    <definedName name="SUMIF" localSheetId="4">#REF!</definedName>
    <definedName name="SUMIF" localSheetId="11">#REF!</definedName>
    <definedName name="SUMIF">#REF!</definedName>
    <definedName name="SUMIF延伸知识" localSheetId="1">#REF!</definedName>
    <definedName name="SUMIF延伸知识" localSheetId="6">#REF!</definedName>
    <definedName name="SUMIF延伸知识" localSheetId="10">#REF!</definedName>
    <definedName name="SUMIF延伸知识" localSheetId="2">#REF!</definedName>
    <definedName name="SUMIF延伸知识" localSheetId="3">#REF!</definedName>
    <definedName name="SUMIF延伸知识" localSheetId="19">#REF!</definedName>
    <definedName name="SUMIF延伸知识" localSheetId="20">#REF!</definedName>
    <definedName name="SUMIF延伸知识" localSheetId="4">#REF!</definedName>
    <definedName name="SUMIF延伸知识" localSheetId="11">#REF!</definedName>
    <definedName name="SUMIF延伸知识">#REF!</definedName>
    <definedName name="SUM延伸知识" localSheetId="1">#REF!</definedName>
    <definedName name="SUM延伸知识" localSheetId="6">#REF!</definedName>
    <definedName name="SUM延伸知识" localSheetId="10">#REF!</definedName>
    <definedName name="SUM延伸知识" localSheetId="2">#REF!</definedName>
    <definedName name="SUM延伸知识" localSheetId="3">#REF!</definedName>
    <definedName name="SUM延伸知识" localSheetId="19">#REF!</definedName>
    <definedName name="SUM延伸知识" localSheetId="20">#REF!</definedName>
    <definedName name="SUM延伸知识" localSheetId="4">#REF!</definedName>
    <definedName name="SUM延伸知识" localSheetId="11">#REF!</definedName>
    <definedName name="SUM延伸知识">#REF!</definedName>
    <definedName name="T" localSheetId="6">#REF!</definedName>
    <definedName name="T" localSheetId="10">#REF!</definedName>
    <definedName name="T" localSheetId="20">#REF!</definedName>
    <definedName name="T" localSheetId="11">#REF!</definedName>
    <definedName name="T">#REF!</definedName>
    <definedName name="Tax" localSheetId="20">#REF!</definedName>
    <definedName name="Tax" localSheetId="11">#REF!</definedName>
    <definedName name="Tax">#REF!</definedName>
    <definedName name="Tax_PY" localSheetId="20">#REF!</definedName>
    <definedName name="Tax_PY" localSheetId="11">#REF!</definedName>
    <definedName name="Tax_PY">#REF!</definedName>
    <definedName name="TEST0" localSheetId="6">#REF!</definedName>
    <definedName name="TEST0" localSheetId="10">#REF!</definedName>
    <definedName name="TEST0" localSheetId="20">#REF!</definedName>
    <definedName name="TEST0" localSheetId="11">#REF!</definedName>
    <definedName name="TEST0">#REF!</definedName>
    <definedName name="TEST1" localSheetId="1">#REF!</definedName>
    <definedName name="TEST1" localSheetId="6">#REF!</definedName>
    <definedName name="TEST1" localSheetId="10">#REF!</definedName>
    <definedName name="TEST1" localSheetId="2">#REF!</definedName>
    <definedName name="TEST1" localSheetId="3">#REF!</definedName>
    <definedName name="TEST1" localSheetId="19">#REF!</definedName>
    <definedName name="TEST1" localSheetId="20">#REF!</definedName>
    <definedName name="TEST1" localSheetId="4">#REF!</definedName>
    <definedName name="TEST1" localSheetId="11">#REF!</definedName>
    <definedName name="TEST1">#REF!</definedName>
    <definedName name="TESTHKEY" localSheetId="1">#REF!</definedName>
    <definedName name="TESTHKEY" localSheetId="6">#REF!</definedName>
    <definedName name="TESTHKEY" localSheetId="10">#REF!</definedName>
    <definedName name="TESTHKEY" localSheetId="2">#REF!</definedName>
    <definedName name="TESTHKEY" localSheetId="3">#REF!</definedName>
    <definedName name="TESTHKEY" localSheetId="19">#REF!</definedName>
    <definedName name="TESTHKEY" localSheetId="20">#REF!</definedName>
    <definedName name="TESTHKEY" localSheetId="4">#REF!</definedName>
    <definedName name="TESTHKEY" localSheetId="11">#REF!</definedName>
    <definedName name="TESTHKEY">#REF!</definedName>
    <definedName name="TESTKEYS" localSheetId="1">#REF!</definedName>
    <definedName name="TESTKEYS" localSheetId="6">#REF!</definedName>
    <definedName name="TESTKEYS" localSheetId="10">#REF!</definedName>
    <definedName name="TESTKEYS" localSheetId="2">#REF!</definedName>
    <definedName name="TESTKEYS" localSheetId="3">#REF!</definedName>
    <definedName name="TESTKEYS" localSheetId="19">#REF!</definedName>
    <definedName name="TESTKEYS" localSheetId="20">#REF!</definedName>
    <definedName name="TESTKEYS" localSheetId="4">#REF!</definedName>
    <definedName name="TESTKEYS" localSheetId="11">#REF!</definedName>
    <definedName name="TESTKEYS">#REF!</definedName>
    <definedName name="TESTVKEY" localSheetId="1">#REF!</definedName>
    <definedName name="TESTVKEY" localSheetId="6">#REF!</definedName>
    <definedName name="TESTVKEY" localSheetId="10">#REF!</definedName>
    <definedName name="TESTVKEY" localSheetId="2">#REF!</definedName>
    <definedName name="TESTVKEY" localSheetId="3">#REF!</definedName>
    <definedName name="TESTVKEY" localSheetId="19">#REF!</definedName>
    <definedName name="TESTVKEY" localSheetId="20">#REF!</definedName>
    <definedName name="TESTVKEY" localSheetId="4">#REF!</definedName>
    <definedName name="TESTVKEY" localSheetId="11">#REF!</definedName>
    <definedName name="TESTVKEY">#REF!</definedName>
    <definedName name="TextRefCopy1" localSheetId="6">#REF!</definedName>
    <definedName name="TextRefCopy1" localSheetId="10">#REF!</definedName>
    <definedName name="TextRefCopy1" localSheetId="20">#REF!</definedName>
    <definedName name="TextRefCopy1" localSheetId="11">#REF!</definedName>
    <definedName name="TextRefCopy1">#REF!</definedName>
    <definedName name="TextRefCopy10" localSheetId="6">#REF!</definedName>
    <definedName name="TextRefCopy10" localSheetId="10">#REF!</definedName>
    <definedName name="TextRefCopy10" localSheetId="20">#REF!</definedName>
    <definedName name="TextRefCopy10" localSheetId="11">#REF!</definedName>
    <definedName name="TextRefCopy10">#REF!</definedName>
    <definedName name="TextRefCopy100" localSheetId="6">#REF!</definedName>
    <definedName name="TextRefCopy100" localSheetId="10">#REF!</definedName>
    <definedName name="TextRefCopy100" localSheetId="20">#REF!</definedName>
    <definedName name="TextRefCopy100" localSheetId="11">#REF!</definedName>
    <definedName name="TextRefCopy100">#REF!</definedName>
    <definedName name="TextRefCopy101" localSheetId="6">#REF!</definedName>
    <definedName name="TextRefCopy101" localSheetId="10">#REF!</definedName>
    <definedName name="TextRefCopy101" localSheetId="20">#REF!</definedName>
    <definedName name="TextRefCopy101" localSheetId="11">#REF!</definedName>
    <definedName name="TextRefCopy101">#REF!</definedName>
    <definedName name="TextRefCopy102" localSheetId="6">#REF!</definedName>
    <definedName name="TextRefCopy102" localSheetId="10">#REF!</definedName>
    <definedName name="TextRefCopy102" localSheetId="20">#REF!</definedName>
    <definedName name="TextRefCopy102" localSheetId="11">#REF!</definedName>
    <definedName name="TextRefCopy102">#REF!</definedName>
    <definedName name="TextRefCopy103" localSheetId="6">#REF!</definedName>
    <definedName name="TextRefCopy103" localSheetId="10">#REF!</definedName>
    <definedName name="TextRefCopy103" localSheetId="20">#REF!</definedName>
    <definedName name="TextRefCopy103" localSheetId="11">#REF!</definedName>
    <definedName name="TextRefCopy103">#REF!</definedName>
    <definedName name="TextRefCopy104" localSheetId="6">#REF!</definedName>
    <definedName name="TextRefCopy104" localSheetId="10">#REF!</definedName>
    <definedName name="TextRefCopy104" localSheetId="20">#REF!</definedName>
    <definedName name="TextRefCopy104" localSheetId="11">#REF!</definedName>
    <definedName name="TextRefCopy104">#REF!</definedName>
    <definedName name="TextRefCopy105" localSheetId="6">#REF!</definedName>
    <definedName name="TextRefCopy105" localSheetId="10">#REF!</definedName>
    <definedName name="TextRefCopy105" localSheetId="20">#REF!</definedName>
    <definedName name="TextRefCopy105" localSheetId="11">#REF!</definedName>
    <definedName name="TextRefCopy105">#REF!</definedName>
    <definedName name="TextRefCopy106" localSheetId="6">#REF!</definedName>
    <definedName name="TextRefCopy106" localSheetId="10">#REF!</definedName>
    <definedName name="TextRefCopy106" localSheetId="20">#REF!</definedName>
    <definedName name="TextRefCopy106" localSheetId="11">#REF!</definedName>
    <definedName name="TextRefCopy106">#REF!</definedName>
    <definedName name="TextRefCopy107" localSheetId="6">#REF!</definedName>
    <definedName name="TextRefCopy107" localSheetId="10">#REF!</definedName>
    <definedName name="TextRefCopy107" localSheetId="20">#REF!</definedName>
    <definedName name="TextRefCopy107" localSheetId="11">#REF!</definedName>
    <definedName name="TextRefCopy107">#REF!</definedName>
    <definedName name="TextRefCopy108" localSheetId="6">#REF!</definedName>
    <definedName name="TextRefCopy108" localSheetId="10">#REF!</definedName>
    <definedName name="TextRefCopy108" localSheetId="20">#REF!</definedName>
    <definedName name="TextRefCopy108" localSheetId="11">#REF!</definedName>
    <definedName name="TextRefCopy108">#REF!</definedName>
    <definedName name="TextRefCopy109" localSheetId="6">#REF!</definedName>
    <definedName name="TextRefCopy109" localSheetId="10">#REF!</definedName>
    <definedName name="TextRefCopy109" localSheetId="20">#REF!</definedName>
    <definedName name="TextRefCopy109" localSheetId="11">#REF!</definedName>
    <definedName name="TextRefCopy109">#REF!</definedName>
    <definedName name="TextRefCopy11" localSheetId="6">#REF!</definedName>
    <definedName name="TextRefCopy11" localSheetId="10">#REF!</definedName>
    <definedName name="TextRefCopy11" localSheetId="20">#REF!</definedName>
    <definedName name="TextRefCopy11" localSheetId="11">#REF!</definedName>
    <definedName name="TextRefCopy11">#REF!</definedName>
    <definedName name="TextRefCopy110" localSheetId="6">#REF!</definedName>
    <definedName name="TextRefCopy110" localSheetId="10">#REF!</definedName>
    <definedName name="TextRefCopy110" localSheetId="20">#REF!</definedName>
    <definedName name="TextRefCopy110" localSheetId="11">#REF!</definedName>
    <definedName name="TextRefCopy110">#REF!</definedName>
    <definedName name="TextRefCopy111" localSheetId="6">#REF!</definedName>
    <definedName name="TextRefCopy111" localSheetId="10">#REF!</definedName>
    <definedName name="TextRefCopy111" localSheetId="20">#REF!</definedName>
    <definedName name="TextRefCopy111" localSheetId="11">#REF!</definedName>
    <definedName name="TextRefCopy111">#REF!</definedName>
    <definedName name="TextRefCopy112" localSheetId="6">#REF!</definedName>
    <definedName name="TextRefCopy112" localSheetId="10">#REF!</definedName>
    <definedName name="TextRefCopy112" localSheetId="20">#REF!</definedName>
    <definedName name="TextRefCopy112" localSheetId="11">#REF!</definedName>
    <definedName name="TextRefCopy112">#REF!</definedName>
    <definedName name="TextRefCopy113" localSheetId="6">#REF!</definedName>
    <definedName name="TextRefCopy113" localSheetId="10">#REF!</definedName>
    <definedName name="TextRefCopy113" localSheetId="20">#REF!</definedName>
    <definedName name="TextRefCopy113" localSheetId="11">#REF!</definedName>
    <definedName name="TextRefCopy113">#REF!</definedName>
    <definedName name="TextRefCopy114" localSheetId="6">#REF!</definedName>
    <definedName name="TextRefCopy114" localSheetId="10">#REF!</definedName>
    <definedName name="TextRefCopy114" localSheetId="20">#REF!</definedName>
    <definedName name="TextRefCopy114" localSheetId="11">#REF!</definedName>
    <definedName name="TextRefCopy114">#REF!</definedName>
    <definedName name="TextRefCopy115" localSheetId="11">#REF!</definedName>
    <definedName name="TextRefCopy115">#REF!</definedName>
    <definedName name="TextRefCopy116" localSheetId="11">#REF!</definedName>
    <definedName name="TextRefCopy116">#REF!</definedName>
    <definedName name="TextRefCopy117" localSheetId="11">#REF!</definedName>
    <definedName name="TextRefCopy117">#REF!</definedName>
    <definedName name="TextRefCopy118" localSheetId="6">#REF!</definedName>
    <definedName name="TextRefCopy118" localSheetId="10">#REF!</definedName>
    <definedName name="TextRefCopy118" localSheetId="20">#REF!</definedName>
    <definedName name="TextRefCopy118" localSheetId="11">#REF!</definedName>
    <definedName name="TextRefCopy118">#REF!</definedName>
    <definedName name="TextRefCopy119" localSheetId="6">#REF!</definedName>
    <definedName name="TextRefCopy119" localSheetId="10">#REF!</definedName>
    <definedName name="TextRefCopy119" localSheetId="20">#REF!</definedName>
    <definedName name="TextRefCopy119" localSheetId="11">#REF!</definedName>
    <definedName name="TextRefCopy119">#REF!</definedName>
    <definedName name="TextRefCopy12" localSheetId="6">#REF!</definedName>
    <definedName name="TextRefCopy12" localSheetId="10">#REF!</definedName>
    <definedName name="TextRefCopy12" localSheetId="20">#REF!</definedName>
    <definedName name="TextRefCopy12" localSheetId="11">#REF!</definedName>
    <definedName name="TextRefCopy12">#REF!</definedName>
    <definedName name="TextRefCopy120" localSheetId="6">#REF!</definedName>
    <definedName name="TextRefCopy120" localSheetId="10">#REF!</definedName>
    <definedName name="TextRefCopy120" localSheetId="20">#REF!</definedName>
    <definedName name="TextRefCopy120" localSheetId="11">#REF!</definedName>
    <definedName name="TextRefCopy120">#REF!</definedName>
    <definedName name="TextRefCopy121" localSheetId="6">#REF!</definedName>
    <definedName name="TextRefCopy121" localSheetId="10">#REF!</definedName>
    <definedName name="TextRefCopy121" localSheetId="20">#REF!</definedName>
    <definedName name="TextRefCopy121" localSheetId="11">#REF!</definedName>
    <definedName name="TextRefCopy121">#REF!</definedName>
    <definedName name="TextRefCopy122" localSheetId="6">#REF!</definedName>
    <definedName name="TextRefCopy122" localSheetId="10">#REF!</definedName>
    <definedName name="TextRefCopy122" localSheetId="20">#REF!</definedName>
    <definedName name="TextRefCopy122" localSheetId="11">#REF!</definedName>
    <definedName name="TextRefCopy122">#REF!</definedName>
    <definedName name="TextRefCopy123" localSheetId="6">#REF!</definedName>
    <definedName name="TextRefCopy123" localSheetId="10">#REF!</definedName>
    <definedName name="TextRefCopy123" localSheetId="20">#REF!</definedName>
    <definedName name="TextRefCopy123" localSheetId="11">#REF!</definedName>
    <definedName name="TextRefCopy123">#REF!</definedName>
    <definedName name="TextRefCopy124" localSheetId="6">#REF!</definedName>
    <definedName name="TextRefCopy124" localSheetId="10">#REF!</definedName>
    <definedName name="TextRefCopy124" localSheetId="20">#REF!</definedName>
    <definedName name="TextRefCopy124" localSheetId="11">#REF!</definedName>
    <definedName name="TextRefCopy124">#REF!</definedName>
    <definedName name="TextRefCopy125" localSheetId="11">#REF!</definedName>
    <definedName name="TextRefCopy125">#REF!</definedName>
    <definedName name="TextRefCopy126" localSheetId="6">#REF!</definedName>
    <definedName name="TextRefCopy126" localSheetId="10">#REF!</definedName>
    <definedName name="TextRefCopy126" localSheetId="20">#REF!</definedName>
    <definedName name="TextRefCopy126" localSheetId="11">#REF!</definedName>
    <definedName name="TextRefCopy126">#REF!</definedName>
    <definedName name="TextRefCopy127" localSheetId="6">#REF!</definedName>
    <definedName name="TextRefCopy127" localSheetId="10">#REF!</definedName>
    <definedName name="TextRefCopy127" localSheetId="20">#REF!</definedName>
    <definedName name="TextRefCopy127" localSheetId="11">#REF!</definedName>
    <definedName name="TextRefCopy127">#REF!</definedName>
    <definedName name="TextRefCopy128" localSheetId="6">#REF!</definedName>
    <definedName name="TextRefCopy128" localSheetId="10">#REF!</definedName>
    <definedName name="TextRefCopy128" localSheetId="20">#REF!</definedName>
    <definedName name="TextRefCopy128" localSheetId="11">#REF!</definedName>
    <definedName name="TextRefCopy128">#REF!</definedName>
    <definedName name="TextRefCopy129" localSheetId="6">#REF!</definedName>
    <definedName name="TextRefCopy129" localSheetId="10">#REF!</definedName>
    <definedName name="TextRefCopy129" localSheetId="20">#REF!</definedName>
    <definedName name="TextRefCopy129" localSheetId="11">#REF!</definedName>
    <definedName name="TextRefCopy129">#REF!</definedName>
    <definedName name="TextRefCopy13" localSheetId="6">#REF!</definedName>
    <definedName name="TextRefCopy13" localSheetId="10">#REF!</definedName>
    <definedName name="TextRefCopy13" localSheetId="20">#REF!</definedName>
    <definedName name="TextRefCopy13" localSheetId="11">#REF!</definedName>
    <definedName name="TextRefCopy13">#REF!</definedName>
    <definedName name="TextRefCopy130" localSheetId="6">#REF!</definedName>
    <definedName name="TextRefCopy130" localSheetId="10">#REF!</definedName>
    <definedName name="TextRefCopy130" localSheetId="20">#REF!</definedName>
    <definedName name="TextRefCopy130" localSheetId="11">#REF!</definedName>
    <definedName name="TextRefCopy130">#REF!</definedName>
    <definedName name="TextRefCopy131" localSheetId="6">#REF!</definedName>
    <definedName name="TextRefCopy131" localSheetId="10">#REF!</definedName>
    <definedName name="TextRefCopy131" localSheetId="20">#REF!</definedName>
    <definedName name="TextRefCopy131" localSheetId="11">#REF!</definedName>
    <definedName name="TextRefCopy131">#REF!</definedName>
    <definedName name="TextRefCopy132" localSheetId="6">#REF!</definedName>
    <definedName name="TextRefCopy132" localSheetId="10">#REF!</definedName>
    <definedName name="TextRefCopy132" localSheetId="20">#REF!</definedName>
    <definedName name="TextRefCopy132" localSheetId="11">#REF!</definedName>
    <definedName name="TextRefCopy132">#REF!</definedName>
    <definedName name="TextRefCopy133" localSheetId="6">#REF!</definedName>
    <definedName name="TextRefCopy133" localSheetId="10">#REF!</definedName>
    <definedName name="TextRefCopy133" localSheetId="20">#REF!</definedName>
    <definedName name="TextRefCopy133" localSheetId="11">#REF!</definedName>
    <definedName name="TextRefCopy133">#REF!</definedName>
    <definedName name="TextRefCopy134" localSheetId="6">#REF!</definedName>
    <definedName name="TextRefCopy134" localSheetId="10">#REF!</definedName>
    <definedName name="TextRefCopy134" localSheetId="20">#REF!</definedName>
    <definedName name="TextRefCopy134" localSheetId="11">#REF!</definedName>
    <definedName name="TextRefCopy134">#REF!</definedName>
    <definedName name="TextRefCopy135" localSheetId="6">#REF!</definedName>
    <definedName name="TextRefCopy135" localSheetId="10">#REF!</definedName>
    <definedName name="TextRefCopy135" localSheetId="20">#REF!</definedName>
    <definedName name="TextRefCopy135" localSheetId="11">#REF!</definedName>
    <definedName name="TextRefCopy135">#REF!</definedName>
    <definedName name="TextRefCopy136" localSheetId="6">#REF!</definedName>
    <definedName name="TextRefCopy136" localSheetId="10">#REF!</definedName>
    <definedName name="TextRefCopy136" localSheetId="20">#REF!</definedName>
    <definedName name="TextRefCopy136" localSheetId="11">#REF!</definedName>
    <definedName name="TextRefCopy136">#REF!</definedName>
    <definedName name="TextRefCopy137" localSheetId="6">#REF!</definedName>
    <definedName name="TextRefCopy137" localSheetId="10">#REF!</definedName>
    <definedName name="TextRefCopy137" localSheetId="20">#REF!</definedName>
    <definedName name="TextRefCopy137" localSheetId="11">#REF!</definedName>
    <definedName name="TextRefCopy137">#REF!</definedName>
    <definedName name="TextRefCopy138" localSheetId="6">#REF!</definedName>
    <definedName name="TextRefCopy138" localSheetId="10">#REF!</definedName>
    <definedName name="TextRefCopy138" localSheetId="20">#REF!</definedName>
    <definedName name="TextRefCopy138" localSheetId="11">#REF!</definedName>
    <definedName name="TextRefCopy138">#REF!</definedName>
    <definedName name="TextRefCopy139" localSheetId="6">#REF!</definedName>
    <definedName name="TextRefCopy139" localSheetId="10">#REF!</definedName>
    <definedName name="TextRefCopy139" localSheetId="20">#REF!</definedName>
    <definedName name="TextRefCopy139" localSheetId="11">#REF!</definedName>
    <definedName name="TextRefCopy139">#REF!</definedName>
    <definedName name="TextRefCopy14" localSheetId="6">#REF!</definedName>
    <definedName name="TextRefCopy14" localSheetId="10">#REF!</definedName>
    <definedName name="TextRefCopy14" localSheetId="20">#REF!</definedName>
    <definedName name="TextRefCopy14" localSheetId="11">#REF!</definedName>
    <definedName name="TextRefCopy14">#REF!</definedName>
    <definedName name="TextRefCopy140" localSheetId="6">#REF!</definedName>
    <definedName name="TextRefCopy140" localSheetId="10">#REF!</definedName>
    <definedName name="TextRefCopy140" localSheetId="20">#REF!</definedName>
    <definedName name="TextRefCopy140" localSheetId="11">#REF!</definedName>
    <definedName name="TextRefCopy140">#REF!</definedName>
    <definedName name="TextRefCopy141" localSheetId="6">#REF!</definedName>
    <definedName name="TextRefCopy141" localSheetId="10">#REF!</definedName>
    <definedName name="TextRefCopy141" localSheetId="20">#REF!</definedName>
    <definedName name="TextRefCopy141" localSheetId="11">#REF!</definedName>
    <definedName name="TextRefCopy141">#REF!</definedName>
    <definedName name="TextRefCopy142" localSheetId="6">#REF!</definedName>
    <definedName name="TextRefCopy142" localSheetId="10">#REF!</definedName>
    <definedName name="TextRefCopy142" localSheetId="20">#REF!</definedName>
    <definedName name="TextRefCopy142" localSheetId="11">#REF!</definedName>
    <definedName name="TextRefCopy142">#REF!</definedName>
    <definedName name="TextRefCopy143" localSheetId="20">#REF!</definedName>
    <definedName name="TextRefCopy143" localSheetId="11">#REF!</definedName>
    <definedName name="TextRefCopy143">#REF!</definedName>
    <definedName name="TextRefCopy144" localSheetId="6">#REF!</definedName>
    <definedName name="TextRefCopy144" localSheetId="10">#REF!</definedName>
    <definedName name="TextRefCopy144" localSheetId="20">#REF!</definedName>
    <definedName name="TextRefCopy144" localSheetId="11">#REF!</definedName>
    <definedName name="TextRefCopy144">#REF!</definedName>
    <definedName name="TextRefCopy145" localSheetId="6">#REF!</definedName>
    <definedName name="TextRefCopy145" localSheetId="10">#REF!</definedName>
    <definedName name="TextRefCopy145" localSheetId="20">#REF!</definedName>
    <definedName name="TextRefCopy145" localSheetId="11">#REF!</definedName>
    <definedName name="TextRefCopy145">#REF!</definedName>
    <definedName name="TextRefCopy146" localSheetId="6">#REF!</definedName>
    <definedName name="TextRefCopy146" localSheetId="10">#REF!</definedName>
    <definedName name="TextRefCopy146" localSheetId="20">#REF!</definedName>
    <definedName name="TextRefCopy146" localSheetId="11">#REF!</definedName>
    <definedName name="TextRefCopy146">#REF!</definedName>
    <definedName name="TextRefCopy147" localSheetId="6">#REF!</definedName>
    <definedName name="TextRefCopy147" localSheetId="10">#REF!</definedName>
    <definedName name="TextRefCopy147" localSheetId="20">#REF!</definedName>
    <definedName name="TextRefCopy147" localSheetId="11">#REF!</definedName>
    <definedName name="TextRefCopy147">#REF!</definedName>
    <definedName name="TextRefCopy148" localSheetId="6">#REF!</definedName>
    <definedName name="TextRefCopy148" localSheetId="10">#REF!</definedName>
    <definedName name="TextRefCopy148" localSheetId="20">#REF!</definedName>
    <definedName name="TextRefCopy148" localSheetId="11">#REF!</definedName>
    <definedName name="TextRefCopy148">#REF!</definedName>
    <definedName name="TextRefCopy149" localSheetId="6">#REF!</definedName>
    <definedName name="TextRefCopy149" localSheetId="10">#REF!</definedName>
    <definedName name="TextRefCopy149" localSheetId="20">#REF!</definedName>
    <definedName name="TextRefCopy149" localSheetId="11">#REF!</definedName>
    <definedName name="TextRefCopy149">#REF!</definedName>
    <definedName name="TextRefCopy15" localSheetId="20">#REF!</definedName>
    <definedName name="TextRefCopy15" localSheetId="11">#REF!</definedName>
    <definedName name="TextRefCopy15">#REF!</definedName>
    <definedName name="TextRefCopy150" localSheetId="6">#REF!</definedName>
    <definedName name="TextRefCopy150" localSheetId="10">#REF!</definedName>
    <definedName name="TextRefCopy150" localSheetId="20">#REF!</definedName>
    <definedName name="TextRefCopy150" localSheetId="11">#REF!</definedName>
    <definedName name="TextRefCopy150">#REF!</definedName>
    <definedName name="TextRefCopy151" localSheetId="6">#REF!</definedName>
    <definedName name="TextRefCopy151" localSheetId="10">#REF!</definedName>
    <definedName name="TextRefCopy151" localSheetId="20">#REF!</definedName>
    <definedName name="TextRefCopy151" localSheetId="11">#REF!</definedName>
    <definedName name="TextRefCopy151">#REF!</definedName>
    <definedName name="TextRefCopy152" localSheetId="6">#REF!</definedName>
    <definedName name="TextRefCopy152" localSheetId="10">#REF!</definedName>
    <definedName name="TextRefCopy152" localSheetId="20">#REF!</definedName>
    <definedName name="TextRefCopy152" localSheetId="11">#REF!</definedName>
    <definedName name="TextRefCopy152">#REF!</definedName>
    <definedName name="TextRefCopy153" localSheetId="6">#REF!</definedName>
    <definedName name="TextRefCopy153" localSheetId="10">#REF!</definedName>
    <definedName name="TextRefCopy153" localSheetId="20">#REF!</definedName>
    <definedName name="TextRefCopy153" localSheetId="11">#REF!</definedName>
    <definedName name="TextRefCopy153">#REF!</definedName>
    <definedName name="TextRefCopy154" localSheetId="6">#REF!</definedName>
    <definedName name="TextRefCopy154" localSheetId="10">#REF!</definedName>
    <definedName name="TextRefCopy154" localSheetId="20">#REF!</definedName>
    <definedName name="TextRefCopy154" localSheetId="11">#REF!</definedName>
    <definedName name="TextRefCopy154">#REF!</definedName>
    <definedName name="TextRefCopy155" localSheetId="6">#REF!</definedName>
    <definedName name="TextRefCopy155" localSheetId="10">#REF!</definedName>
    <definedName name="TextRefCopy155" localSheetId="20">#REF!</definedName>
    <definedName name="TextRefCopy155" localSheetId="11">#REF!</definedName>
    <definedName name="TextRefCopy155">#REF!</definedName>
    <definedName name="TextRefCopy156" localSheetId="6">#REF!</definedName>
    <definedName name="TextRefCopy156" localSheetId="10">#REF!</definedName>
    <definedName name="TextRefCopy156" localSheetId="20">#REF!</definedName>
    <definedName name="TextRefCopy156" localSheetId="11">#REF!</definedName>
    <definedName name="TextRefCopy156">#REF!</definedName>
    <definedName name="TextRefCopy157" localSheetId="6">#REF!</definedName>
    <definedName name="TextRefCopy157" localSheetId="10">#REF!</definedName>
    <definedName name="TextRefCopy157" localSheetId="20">#REF!</definedName>
    <definedName name="TextRefCopy157" localSheetId="11">#REF!</definedName>
    <definedName name="TextRefCopy157">#REF!</definedName>
    <definedName name="TextRefCopy158" localSheetId="6">#REF!</definedName>
    <definedName name="TextRefCopy158" localSheetId="10">#REF!</definedName>
    <definedName name="TextRefCopy158" localSheetId="20">#REF!</definedName>
    <definedName name="TextRefCopy158" localSheetId="11">#REF!</definedName>
    <definedName name="TextRefCopy158">#REF!</definedName>
    <definedName name="TextRefCopy159" localSheetId="6">#REF!</definedName>
    <definedName name="TextRefCopy159" localSheetId="10">#REF!</definedName>
    <definedName name="TextRefCopy159" localSheetId="20">#REF!</definedName>
    <definedName name="TextRefCopy159" localSheetId="11">#REF!</definedName>
    <definedName name="TextRefCopy159">#REF!</definedName>
    <definedName name="TextRefCopy16" localSheetId="6">#REF!</definedName>
    <definedName name="TextRefCopy16" localSheetId="10">#REF!</definedName>
    <definedName name="TextRefCopy16" localSheetId="20">#REF!</definedName>
    <definedName name="TextRefCopy16" localSheetId="11">#REF!</definedName>
    <definedName name="TextRefCopy16">#REF!</definedName>
    <definedName name="TextRefCopy160" localSheetId="6">#REF!</definedName>
    <definedName name="TextRefCopy160" localSheetId="10">#REF!</definedName>
    <definedName name="TextRefCopy160" localSheetId="20">#REF!</definedName>
    <definedName name="TextRefCopy160" localSheetId="11">#REF!</definedName>
    <definedName name="TextRefCopy160">#REF!</definedName>
    <definedName name="TextRefCopy161" localSheetId="6">#REF!</definedName>
    <definedName name="TextRefCopy161" localSheetId="10">#REF!</definedName>
    <definedName name="TextRefCopy161" localSheetId="20">#REF!</definedName>
    <definedName name="TextRefCopy161" localSheetId="11">#REF!</definedName>
    <definedName name="TextRefCopy161">#REF!</definedName>
    <definedName name="TextRefCopy162" localSheetId="6">#REF!</definedName>
    <definedName name="TextRefCopy162" localSheetId="10">#REF!</definedName>
    <definedName name="TextRefCopy162" localSheetId="20">#REF!</definedName>
    <definedName name="TextRefCopy162" localSheetId="11">#REF!</definedName>
    <definedName name="TextRefCopy162">#REF!</definedName>
    <definedName name="TextRefCopy163" localSheetId="6">#REF!</definedName>
    <definedName name="TextRefCopy163" localSheetId="10">#REF!</definedName>
    <definedName name="TextRefCopy163" localSheetId="20">#REF!</definedName>
    <definedName name="TextRefCopy163" localSheetId="11">#REF!</definedName>
    <definedName name="TextRefCopy163">#REF!</definedName>
    <definedName name="TextRefCopy164" localSheetId="6">#REF!</definedName>
    <definedName name="TextRefCopy164" localSheetId="10">#REF!</definedName>
    <definedName name="TextRefCopy164" localSheetId="20">#REF!</definedName>
    <definedName name="TextRefCopy164" localSheetId="11">#REF!</definedName>
    <definedName name="TextRefCopy164">#REF!</definedName>
    <definedName name="TextRefCopy165" localSheetId="6">#REF!</definedName>
    <definedName name="TextRefCopy165" localSheetId="10">#REF!</definedName>
    <definedName name="TextRefCopy165" localSheetId="20">#REF!</definedName>
    <definedName name="TextRefCopy165" localSheetId="11">#REF!</definedName>
    <definedName name="TextRefCopy165">#REF!</definedName>
    <definedName name="TextRefCopy166" localSheetId="6">#REF!</definedName>
    <definedName name="TextRefCopy166" localSheetId="10">#REF!</definedName>
    <definedName name="TextRefCopy166" localSheetId="20">#REF!</definedName>
    <definedName name="TextRefCopy166" localSheetId="11">#REF!</definedName>
    <definedName name="TextRefCopy166">#REF!</definedName>
    <definedName name="TextRefCopy167" localSheetId="6">#REF!</definedName>
    <definedName name="TextRefCopy167" localSheetId="10">#REF!</definedName>
    <definedName name="TextRefCopy167" localSheetId="20">#REF!</definedName>
    <definedName name="TextRefCopy167" localSheetId="11">#REF!</definedName>
    <definedName name="TextRefCopy167">#REF!</definedName>
    <definedName name="TextRefCopy168" localSheetId="6">#REF!</definedName>
    <definedName name="TextRefCopy168" localSheetId="10">#REF!</definedName>
    <definedName name="TextRefCopy168" localSheetId="20">#REF!</definedName>
    <definedName name="TextRefCopy168" localSheetId="11">#REF!</definedName>
    <definedName name="TextRefCopy168">#REF!</definedName>
    <definedName name="TextRefCopy169" localSheetId="6">#REF!</definedName>
    <definedName name="TextRefCopy169" localSheetId="10">#REF!</definedName>
    <definedName name="TextRefCopy169" localSheetId="20">#REF!</definedName>
    <definedName name="TextRefCopy169" localSheetId="11">#REF!</definedName>
    <definedName name="TextRefCopy169">#REF!</definedName>
    <definedName name="TextRefCopy17" localSheetId="6">#REF!</definedName>
    <definedName name="TextRefCopy17" localSheetId="10">#REF!</definedName>
    <definedName name="TextRefCopy17" localSheetId="20">#REF!</definedName>
    <definedName name="TextRefCopy17" localSheetId="11">#REF!</definedName>
    <definedName name="TextRefCopy17">#REF!</definedName>
    <definedName name="TextRefCopy170" localSheetId="20">#REF!</definedName>
    <definedName name="TextRefCopy170" localSheetId="11">#REF!</definedName>
    <definedName name="TextRefCopy170">#REF!</definedName>
    <definedName name="TextRefCopy171" localSheetId="6">#REF!</definedName>
    <definedName name="TextRefCopy171" localSheetId="10">#REF!</definedName>
    <definedName name="TextRefCopy171" localSheetId="20">#REF!</definedName>
    <definedName name="TextRefCopy171" localSheetId="11">#REF!</definedName>
    <definedName name="TextRefCopy171">#REF!</definedName>
    <definedName name="TextRefCopy172" localSheetId="6">#REF!</definedName>
    <definedName name="TextRefCopy172" localSheetId="10">#REF!</definedName>
    <definedName name="TextRefCopy172" localSheetId="20">#REF!</definedName>
    <definedName name="TextRefCopy172" localSheetId="11">#REF!</definedName>
    <definedName name="TextRefCopy172">#REF!</definedName>
    <definedName name="TextRefCopy174" localSheetId="6">#REF!</definedName>
    <definedName name="TextRefCopy174" localSheetId="10">#REF!</definedName>
    <definedName name="TextRefCopy174" localSheetId="20">#REF!</definedName>
    <definedName name="TextRefCopy174" localSheetId="11">#REF!</definedName>
    <definedName name="TextRefCopy174">#REF!</definedName>
    <definedName name="TextRefCopy175" localSheetId="6">#REF!</definedName>
    <definedName name="TextRefCopy175" localSheetId="10">#REF!</definedName>
    <definedName name="TextRefCopy175" localSheetId="20">#REF!</definedName>
    <definedName name="TextRefCopy175" localSheetId="11">#REF!</definedName>
    <definedName name="TextRefCopy175">#REF!</definedName>
    <definedName name="TextRefCopy176" localSheetId="20">#REF!</definedName>
    <definedName name="TextRefCopy176" localSheetId="11">#REF!</definedName>
    <definedName name="TextRefCopy176">#REF!</definedName>
    <definedName name="TextRefCopy177" localSheetId="6">#REF!</definedName>
    <definedName name="TextRefCopy177" localSheetId="10">#REF!</definedName>
    <definedName name="TextRefCopy177" localSheetId="20">#REF!</definedName>
    <definedName name="TextRefCopy177" localSheetId="11">#REF!</definedName>
    <definedName name="TextRefCopy177">#REF!</definedName>
    <definedName name="TextRefCopy178" localSheetId="6">#REF!</definedName>
    <definedName name="TextRefCopy178" localSheetId="10">#REF!</definedName>
    <definedName name="TextRefCopy178" localSheetId="20">#REF!</definedName>
    <definedName name="TextRefCopy178" localSheetId="11">#REF!</definedName>
    <definedName name="TextRefCopy178">#REF!</definedName>
    <definedName name="TextRefCopy179" localSheetId="6">#REF!</definedName>
    <definedName name="TextRefCopy179" localSheetId="10">#REF!</definedName>
    <definedName name="TextRefCopy179" localSheetId="20">#REF!</definedName>
    <definedName name="TextRefCopy179" localSheetId="11">#REF!</definedName>
    <definedName name="TextRefCopy179">#REF!</definedName>
    <definedName name="TextRefCopy18" localSheetId="20">#REF!</definedName>
    <definedName name="TextRefCopy18" localSheetId="11">#REF!</definedName>
    <definedName name="TextRefCopy18">#REF!</definedName>
    <definedName name="TextRefCopy180" localSheetId="6">#REF!</definedName>
    <definedName name="TextRefCopy180" localSheetId="10">#REF!</definedName>
    <definedName name="TextRefCopy180" localSheetId="20">#REF!</definedName>
    <definedName name="TextRefCopy180" localSheetId="11">#REF!</definedName>
    <definedName name="TextRefCopy180">#REF!</definedName>
    <definedName name="TextRefCopy181" localSheetId="6">#REF!</definedName>
    <definedName name="TextRefCopy181" localSheetId="10">#REF!</definedName>
    <definedName name="TextRefCopy181" localSheetId="20">#REF!</definedName>
    <definedName name="TextRefCopy181" localSheetId="11">#REF!</definedName>
    <definedName name="TextRefCopy181">#REF!</definedName>
    <definedName name="TextRefCopy182" localSheetId="6">#REF!</definedName>
    <definedName name="TextRefCopy182" localSheetId="10">#REF!</definedName>
    <definedName name="TextRefCopy182" localSheetId="20">#REF!</definedName>
    <definedName name="TextRefCopy182" localSheetId="11">#REF!</definedName>
    <definedName name="TextRefCopy182">#REF!</definedName>
    <definedName name="TextRefCopy183" localSheetId="6">#REF!</definedName>
    <definedName name="TextRefCopy183" localSheetId="10">#REF!</definedName>
    <definedName name="TextRefCopy183" localSheetId="20">#REF!</definedName>
    <definedName name="TextRefCopy183" localSheetId="11">#REF!</definedName>
    <definedName name="TextRefCopy183">#REF!</definedName>
    <definedName name="TextRefCopy184" localSheetId="6">#REF!</definedName>
    <definedName name="TextRefCopy184" localSheetId="10">#REF!</definedName>
    <definedName name="TextRefCopy184" localSheetId="20">#REF!</definedName>
    <definedName name="TextRefCopy184" localSheetId="11">#REF!</definedName>
    <definedName name="TextRefCopy184">#REF!</definedName>
    <definedName name="TextRefCopy185" localSheetId="6">#REF!</definedName>
    <definedName name="TextRefCopy185" localSheetId="10">#REF!</definedName>
    <definedName name="TextRefCopy185" localSheetId="20">#REF!</definedName>
    <definedName name="TextRefCopy185" localSheetId="11">#REF!</definedName>
    <definedName name="TextRefCopy185">#REF!</definedName>
    <definedName name="TextRefCopy186" localSheetId="6">#REF!</definedName>
    <definedName name="TextRefCopy186" localSheetId="10">#REF!</definedName>
    <definedName name="TextRefCopy186" localSheetId="20">#REF!</definedName>
    <definedName name="TextRefCopy186" localSheetId="11">#REF!</definedName>
    <definedName name="TextRefCopy186">#REF!</definedName>
    <definedName name="TextRefCopy187" localSheetId="6">#REF!</definedName>
    <definedName name="TextRefCopy187" localSheetId="10">#REF!</definedName>
    <definedName name="TextRefCopy187" localSheetId="20">#REF!</definedName>
    <definedName name="TextRefCopy187" localSheetId="11">#REF!</definedName>
    <definedName name="TextRefCopy187">#REF!</definedName>
    <definedName name="TextRefCopy19" localSheetId="6">#REF!</definedName>
    <definedName name="TextRefCopy19" localSheetId="10">#REF!</definedName>
    <definedName name="TextRefCopy19" localSheetId="20">#REF!</definedName>
    <definedName name="TextRefCopy19" localSheetId="11">#REF!</definedName>
    <definedName name="TextRefCopy19">#REF!</definedName>
    <definedName name="TextRefCopy191" localSheetId="6">#REF!</definedName>
    <definedName name="TextRefCopy191" localSheetId="10">#REF!</definedName>
    <definedName name="TextRefCopy191" localSheetId="20">#REF!</definedName>
    <definedName name="TextRefCopy191" localSheetId="11">#REF!</definedName>
    <definedName name="TextRefCopy191">#REF!</definedName>
    <definedName name="TextRefCopy192" localSheetId="6">#REF!</definedName>
    <definedName name="TextRefCopy192" localSheetId="10">#REF!</definedName>
    <definedName name="TextRefCopy192" localSheetId="20">#REF!</definedName>
    <definedName name="TextRefCopy192" localSheetId="11">#REF!</definedName>
    <definedName name="TextRefCopy192">#REF!</definedName>
    <definedName name="TextRefCopy193" localSheetId="6">#REF!</definedName>
    <definedName name="TextRefCopy193" localSheetId="10">#REF!</definedName>
    <definedName name="TextRefCopy193" localSheetId="20">#REF!</definedName>
    <definedName name="TextRefCopy193" localSheetId="11">#REF!</definedName>
    <definedName name="TextRefCopy193">#REF!</definedName>
    <definedName name="TextRefCopy194" localSheetId="6">#REF!</definedName>
    <definedName name="TextRefCopy194" localSheetId="10">#REF!</definedName>
    <definedName name="TextRefCopy194" localSheetId="20">#REF!</definedName>
    <definedName name="TextRefCopy194" localSheetId="11">#REF!</definedName>
    <definedName name="TextRefCopy194">#REF!</definedName>
    <definedName name="TextRefCopy195" localSheetId="6">#REF!</definedName>
    <definedName name="TextRefCopy195" localSheetId="10">#REF!</definedName>
    <definedName name="TextRefCopy195" localSheetId="20">#REF!</definedName>
    <definedName name="TextRefCopy195" localSheetId="11">#REF!</definedName>
    <definedName name="TextRefCopy195">#REF!</definedName>
    <definedName name="TextRefCopy196" localSheetId="6">#REF!</definedName>
    <definedName name="TextRefCopy196" localSheetId="10">#REF!</definedName>
    <definedName name="TextRefCopy196" localSheetId="20">#REF!</definedName>
    <definedName name="TextRefCopy196" localSheetId="11">#REF!</definedName>
    <definedName name="TextRefCopy196">#REF!</definedName>
    <definedName name="TextRefCopy197" localSheetId="6">#REF!</definedName>
    <definedName name="TextRefCopy197" localSheetId="10">#REF!</definedName>
    <definedName name="TextRefCopy197" localSheetId="20">#REF!</definedName>
    <definedName name="TextRefCopy197" localSheetId="11">#REF!</definedName>
    <definedName name="TextRefCopy197">#REF!</definedName>
    <definedName name="TextRefCopy198" localSheetId="6">#REF!</definedName>
    <definedName name="TextRefCopy198" localSheetId="10">#REF!</definedName>
    <definedName name="TextRefCopy198" localSheetId="20">#REF!</definedName>
    <definedName name="TextRefCopy198" localSheetId="11">#REF!</definedName>
    <definedName name="TextRefCopy198">#REF!</definedName>
    <definedName name="TextRefCopy199" localSheetId="6">#REF!</definedName>
    <definedName name="TextRefCopy199" localSheetId="10">#REF!</definedName>
    <definedName name="TextRefCopy199" localSheetId="20">#REF!</definedName>
    <definedName name="TextRefCopy199" localSheetId="11">#REF!</definedName>
    <definedName name="TextRefCopy199">#REF!</definedName>
    <definedName name="TextRefCopy2" localSheetId="6">#REF!</definedName>
    <definedName name="TextRefCopy2" localSheetId="10">#REF!</definedName>
    <definedName name="TextRefCopy2" localSheetId="20">#REF!</definedName>
    <definedName name="TextRefCopy2" localSheetId="11">#REF!</definedName>
    <definedName name="TextRefCopy2">#REF!</definedName>
    <definedName name="TextRefCopy20" localSheetId="6">#REF!</definedName>
    <definedName name="TextRefCopy20" localSheetId="10">#REF!</definedName>
    <definedName name="TextRefCopy20" localSheetId="20">#REF!</definedName>
    <definedName name="TextRefCopy20" localSheetId="11">#REF!</definedName>
    <definedName name="TextRefCopy20">#REF!</definedName>
    <definedName name="TextRefCopy200" localSheetId="6">#REF!</definedName>
    <definedName name="TextRefCopy200" localSheetId="10">#REF!</definedName>
    <definedName name="TextRefCopy200" localSheetId="20">#REF!</definedName>
    <definedName name="TextRefCopy200" localSheetId="11">#REF!</definedName>
    <definedName name="TextRefCopy200">#REF!</definedName>
    <definedName name="TextRefCopy201" localSheetId="6">#REF!</definedName>
    <definedName name="TextRefCopy201" localSheetId="10">#REF!</definedName>
    <definedName name="TextRefCopy201" localSheetId="20">#REF!</definedName>
    <definedName name="TextRefCopy201" localSheetId="11">#REF!</definedName>
    <definedName name="TextRefCopy201">#REF!</definedName>
    <definedName name="TextRefCopy202" localSheetId="6">#REF!</definedName>
    <definedName name="TextRefCopy202" localSheetId="10">#REF!</definedName>
    <definedName name="TextRefCopy202" localSheetId="20">#REF!</definedName>
    <definedName name="TextRefCopy202" localSheetId="11">#REF!</definedName>
    <definedName name="TextRefCopy202">#REF!</definedName>
    <definedName name="TextRefCopy203" localSheetId="6">#REF!</definedName>
    <definedName name="TextRefCopy203" localSheetId="10">#REF!</definedName>
    <definedName name="TextRefCopy203" localSheetId="20">#REF!</definedName>
    <definedName name="TextRefCopy203" localSheetId="11">#REF!</definedName>
    <definedName name="TextRefCopy203">#REF!</definedName>
    <definedName name="TextRefCopy204" localSheetId="6">#REF!</definedName>
    <definedName name="TextRefCopy204" localSheetId="10">#REF!</definedName>
    <definedName name="TextRefCopy204" localSheetId="20">#REF!</definedName>
    <definedName name="TextRefCopy204" localSheetId="11">#REF!</definedName>
    <definedName name="TextRefCopy204">#REF!</definedName>
    <definedName name="TextRefCopy205" localSheetId="6">#REF!</definedName>
    <definedName name="TextRefCopy205" localSheetId="10">#REF!</definedName>
    <definedName name="TextRefCopy205" localSheetId="20">#REF!</definedName>
    <definedName name="TextRefCopy205" localSheetId="11">#REF!</definedName>
    <definedName name="TextRefCopy205">#REF!</definedName>
    <definedName name="TextRefCopy206" localSheetId="6">#REF!</definedName>
    <definedName name="TextRefCopy206" localSheetId="10">#REF!</definedName>
    <definedName name="TextRefCopy206" localSheetId="20">#REF!</definedName>
    <definedName name="TextRefCopy206" localSheetId="11">#REF!</definedName>
    <definedName name="TextRefCopy206">#REF!</definedName>
    <definedName name="TextRefCopy207" localSheetId="6">#REF!</definedName>
    <definedName name="TextRefCopy207" localSheetId="10">#REF!</definedName>
    <definedName name="TextRefCopy207" localSheetId="20">#REF!</definedName>
    <definedName name="TextRefCopy207" localSheetId="11">#REF!</definedName>
    <definedName name="TextRefCopy207">#REF!</definedName>
    <definedName name="TextRefCopy208" localSheetId="6">#REF!</definedName>
    <definedName name="TextRefCopy208" localSheetId="10">#REF!</definedName>
    <definedName name="TextRefCopy208" localSheetId="20">#REF!</definedName>
    <definedName name="TextRefCopy208" localSheetId="11">#REF!</definedName>
    <definedName name="TextRefCopy208">#REF!</definedName>
    <definedName name="TextRefCopy209" localSheetId="6">#REF!</definedName>
    <definedName name="TextRefCopy209" localSheetId="10">#REF!</definedName>
    <definedName name="TextRefCopy209" localSheetId="20">#REF!</definedName>
    <definedName name="TextRefCopy209" localSheetId="11">#REF!</definedName>
    <definedName name="TextRefCopy209">#REF!</definedName>
    <definedName name="TextRefCopy21" localSheetId="6">#REF!</definedName>
    <definedName name="TextRefCopy21" localSheetId="10">#REF!</definedName>
    <definedName name="TextRefCopy21" localSheetId="20">#REF!</definedName>
    <definedName name="TextRefCopy21" localSheetId="11">#REF!</definedName>
    <definedName name="TextRefCopy21">#REF!</definedName>
    <definedName name="TextRefCopy210" localSheetId="6">#REF!</definedName>
    <definedName name="TextRefCopy210" localSheetId="10">#REF!</definedName>
    <definedName name="TextRefCopy210" localSheetId="20">#REF!</definedName>
    <definedName name="TextRefCopy210" localSheetId="11">#REF!</definedName>
    <definedName name="TextRefCopy210">#REF!</definedName>
    <definedName name="TextRefCopy211" localSheetId="6">#REF!</definedName>
    <definedName name="TextRefCopy211" localSheetId="10">#REF!</definedName>
    <definedName name="TextRefCopy211" localSheetId="20">#REF!</definedName>
    <definedName name="TextRefCopy211" localSheetId="11">#REF!</definedName>
    <definedName name="TextRefCopy211">#REF!</definedName>
    <definedName name="TextRefCopy212" localSheetId="6">#REF!</definedName>
    <definedName name="TextRefCopy212" localSheetId="10">#REF!</definedName>
    <definedName name="TextRefCopy212" localSheetId="20">#REF!</definedName>
    <definedName name="TextRefCopy212" localSheetId="11">#REF!</definedName>
    <definedName name="TextRefCopy212">#REF!</definedName>
    <definedName name="TextRefCopy213" localSheetId="6">#REF!</definedName>
    <definedName name="TextRefCopy213" localSheetId="10">#REF!</definedName>
    <definedName name="TextRefCopy213" localSheetId="20">#REF!</definedName>
    <definedName name="TextRefCopy213" localSheetId="11">#REF!</definedName>
    <definedName name="TextRefCopy213">#REF!</definedName>
    <definedName name="TextRefCopy214" localSheetId="6">#REF!</definedName>
    <definedName name="TextRefCopy214" localSheetId="10">#REF!</definedName>
    <definedName name="TextRefCopy214" localSheetId="20">#REF!</definedName>
    <definedName name="TextRefCopy214" localSheetId="11">#REF!</definedName>
    <definedName name="TextRefCopy214">#REF!</definedName>
    <definedName name="TextRefCopy215" localSheetId="6">#REF!</definedName>
    <definedName name="TextRefCopy215" localSheetId="10">#REF!</definedName>
    <definedName name="TextRefCopy215" localSheetId="20">#REF!</definedName>
    <definedName name="TextRefCopy215" localSheetId="11">#REF!</definedName>
    <definedName name="TextRefCopy215">#REF!</definedName>
    <definedName name="TextRefCopy216" localSheetId="6">#REF!</definedName>
    <definedName name="TextRefCopy216" localSheetId="10">#REF!</definedName>
    <definedName name="TextRefCopy216" localSheetId="20">#REF!</definedName>
    <definedName name="TextRefCopy216" localSheetId="11">#REF!</definedName>
    <definedName name="TextRefCopy216">#REF!</definedName>
    <definedName name="TextRefCopy217" localSheetId="6">#REF!</definedName>
    <definedName name="TextRefCopy217" localSheetId="10">#REF!</definedName>
    <definedName name="TextRefCopy217" localSheetId="20">#REF!</definedName>
    <definedName name="TextRefCopy217" localSheetId="11">#REF!</definedName>
    <definedName name="TextRefCopy217">#REF!</definedName>
    <definedName name="TextRefCopy218" localSheetId="6">#REF!</definedName>
    <definedName name="TextRefCopy218" localSheetId="10">#REF!</definedName>
    <definedName name="TextRefCopy218" localSheetId="20">#REF!</definedName>
    <definedName name="TextRefCopy218" localSheetId="11">#REF!</definedName>
    <definedName name="TextRefCopy218">#REF!</definedName>
    <definedName name="TextRefCopy219" localSheetId="6">#REF!</definedName>
    <definedName name="TextRefCopy219" localSheetId="10">#REF!</definedName>
    <definedName name="TextRefCopy219" localSheetId="20">#REF!</definedName>
    <definedName name="TextRefCopy219" localSheetId="11">#REF!</definedName>
    <definedName name="TextRefCopy219">#REF!</definedName>
    <definedName name="TextRefCopy22" localSheetId="6">#REF!</definedName>
    <definedName name="TextRefCopy22" localSheetId="10">#REF!</definedName>
    <definedName name="TextRefCopy22" localSheetId="20">#REF!</definedName>
    <definedName name="TextRefCopy22" localSheetId="11">#REF!</definedName>
    <definedName name="TextRefCopy22">#REF!</definedName>
    <definedName name="TextRefCopy220" localSheetId="6">#REF!</definedName>
    <definedName name="TextRefCopy220" localSheetId="10">#REF!</definedName>
    <definedName name="TextRefCopy220" localSheetId="20">#REF!</definedName>
    <definedName name="TextRefCopy220" localSheetId="11">#REF!</definedName>
    <definedName name="TextRefCopy220">#REF!</definedName>
    <definedName name="TextRefCopy221" localSheetId="6">#REF!</definedName>
    <definedName name="TextRefCopy221" localSheetId="10">#REF!</definedName>
    <definedName name="TextRefCopy221" localSheetId="20">#REF!</definedName>
    <definedName name="TextRefCopy221" localSheetId="11">#REF!</definedName>
    <definedName name="TextRefCopy221">#REF!</definedName>
    <definedName name="TextRefCopy222" localSheetId="6">#REF!</definedName>
    <definedName name="TextRefCopy222" localSheetId="10">#REF!</definedName>
    <definedName name="TextRefCopy222" localSheetId="20">#REF!</definedName>
    <definedName name="TextRefCopy222" localSheetId="11">#REF!</definedName>
    <definedName name="TextRefCopy222">#REF!</definedName>
    <definedName name="TextRefCopy223" localSheetId="6">#REF!</definedName>
    <definedName name="TextRefCopy223" localSheetId="10">#REF!</definedName>
    <definedName name="TextRefCopy223" localSheetId="20">#REF!</definedName>
    <definedName name="TextRefCopy223" localSheetId="11">#REF!</definedName>
    <definedName name="TextRefCopy223">#REF!</definedName>
    <definedName name="TextRefCopy224" localSheetId="6">#REF!</definedName>
    <definedName name="TextRefCopy224" localSheetId="10">#REF!</definedName>
    <definedName name="TextRefCopy224" localSheetId="20">#REF!</definedName>
    <definedName name="TextRefCopy224" localSheetId="11">#REF!</definedName>
    <definedName name="TextRefCopy224">#REF!</definedName>
    <definedName name="TextRefCopy225" localSheetId="6">#REF!</definedName>
    <definedName name="TextRefCopy225" localSheetId="10">#REF!</definedName>
    <definedName name="TextRefCopy225" localSheetId="20">#REF!</definedName>
    <definedName name="TextRefCopy225" localSheetId="11">#REF!</definedName>
    <definedName name="TextRefCopy225">#REF!</definedName>
    <definedName name="TextRefCopy226" localSheetId="6">#REF!</definedName>
    <definedName name="TextRefCopy226" localSheetId="10">#REF!</definedName>
    <definedName name="TextRefCopy226" localSheetId="20">#REF!</definedName>
    <definedName name="TextRefCopy226" localSheetId="11">#REF!</definedName>
    <definedName name="TextRefCopy226">#REF!</definedName>
    <definedName name="TextRefCopy227" localSheetId="6">#REF!</definedName>
    <definedName name="TextRefCopy227" localSheetId="10">#REF!</definedName>
    <definedName name="TextRefCopy227" localSheetId="20">#REF!</definedName>
    <definedName name="TextRefCopy227" localSheetId="11">#REF!</definedName>
    <definedName name="TextRefCopy227">#REF!</definedName>
    <definedName name="TextRefCopy228" localSheetId="6">#REF!</definedName>
    <definedName name="TextRefCopy228" localSheetId="10">#REF!</definedName>
    <definedName name="TextRefCopy228" localSheetId="20">#REF!</definedName>
    <definedName name="TextRefCopy228" localSheetId="11">#REF!</definedName>
    <definedName name="TextRefCopy228">#REF!</definedName>
    <definedName name="TextRefCopy229" localSheetId="6">#REF!</definedName>
    <definedName name="TextRefCopy229" localSheetId="10">#REF!</definedName>
    <definedName name="TextRefCopy229" localSheetId="20">#REF!</definedName>
    <definedName name="TextRefCopy229" localSheetId="11">#REF!</definedName>
    <definedName name="TextRefCopy229">#REF!</definedName>
    <definedName name="TextRefCopy23" localSheetId="20">#REF!</definedName>
    <definedName name="TextRefCopy23" localSheetId="11">#REF!</definedName>
    <definedName name="TextRefCopy23">#REF!</definedName>
    <definedName name="TextRefCopy230" localSheetId="6">#REF!</definedName>
    <definedName name="TextRefCopy230" localSheetId="10">#REF!</definedName>
    <definedName name="TextRefCopy230" localSheetId="20">#REF!</definedName>
    <definedName name="TextRefCopy230" localSheetId="11">#REF!</definedName>
    <definedName name="TextRefCopy230">#REF!</definedName>
    <definedName name="TextRefCopy231" localSheetId="6">#REF!</definedName>
    <definedName name="TextRefCopy231" localSheetId="10">#REF!</definedName>
    <definedName name="TextRefCopy231" localSheetId="20">#REF!</definedName>
    <definedName name="TextRefCopy231" localSheetId="11">#REF!</definedName>
    <definedName name="TextRefCopy231">#REF!</definedName>
    <definedName name="TextRefCopy232" localSheetId="6">#REF!</definedName>
    <definedName name="TextRefCopy232" localSheetId="10">#REF!</definedName>
    <definedName name="TextRefCopy232" localSheetId="20">#REF!</definedName>
    <definedName name="TextRefCopy232" localSheetId="11">#REF!</definedName>
    <definedName name="TextRefCopy232">#REF!</definedName>
    <definedName name="TextRefCopy233" localSheetId="6">#REF!</definedName>
    <definedName name="TextRefCopy233" localSheetId="10">#REF!</definedName>
    <definedName name="TextRefCopy233" localSheetId="20">#REF!</definedName>
    <definedName name="TextRefCopy233" localSheetId="11">#REF!</definedName>
    <definedName name="TextRefCopy233">#REF!</definedName>
    <definedName name="TextRefCopy234" localSheetId="6">#REF!</definedName>
    <definedName name="TextRefCopy234" localSheetId="10">#REF!</definedName>
    <definedName name="TextRefCopy234" localSheetId="20">#REF!</definedName>
    <definedName name="TextRefCopy234" localSheetId="11">#REF!</definedName>
    <definedName name="TextRefCopy234">#REF!</definedName>
    <definedName name="TextRefCopy235" localSheetId="6">#REF!</definedName>
    <definedName name="TextRefCopy235" localSheetId="10">#REF!</definedName>
    <definedName name="TextRefCopy235" localSheetId="20">#REF!</definedName>
    <definedName name="TextRefCopy235" localSheetId="11">#REF!</definedName>
    <definedName name="TextRefCopy235">#REF!</definedName>
    <definedName name="TextRefCopy236" localSheetId="6">#REF!</definedName>
    <definedName name="TextRefCopy236" localSheetId="10">#REF!</definedName>
    <definedName name="TextRefCopy236" localSheetId="20">#REF!</definedName>
    <definedName name="TextRefCopy236" localSheetId="11">#REF!</definedName>
    <definedName name="TextRefCopy236">#REF!</definedName>
    <definedName name="TextRefCopy237" localSheetId="6">#REF!</definedName>
    <definedName name="TextRefCopy237" localSheetId="10">#REF!</definedName>
    <definedName name="TextRefCopy237" localSheetId="20">#REF!</definedName>
    <definedName name="TextRefCopy237" localSheetId="11">#REF!</definedName>
    <definedName name="TextRefCopy237">#REF!</definedName>
    <definedName name="TextRefCopy238" localSheetId="6">#REF!</definedName>
    <definedName name="TextRefCopy238" localSheetId="10">#REF!</definedName>
    <definedName name="TextRefCopy238" localSheetId="20">#REF!</definedName>
    <definedName name="TextRefCopy238" localSheetId="11">#REF!</definedName>
    <definedName name="TextRefCopy238">#REF!</definedName>
    <definedName name="TextRefCopy239" localSheetId="6">#REF!</definedName>
    <definedName name="TextRefCopy239" localSheetId="10">#REF!</definedName>
    <definedName name="TextRefCopy239" localSheetId="20">#REF!</definedName>
    <definedName name="TextRefCopy239" localSheetId="11">#REF!</definedName>
    <definedName name="TextRefCopy239">#REF!</definedName>
    <definedName name="TextRefCopy24" localSheetId="20">#REF!</definedName>
    <definedName name="TextRefCopy24" localSheetId="11">#REF!</definedName>
    <definedName name="TextRefCopy24">#REF!</definedName>
    <definedName name="TextRefCopy240" localSheetId="6">#REF!</definedName>
    <definedName name="TextRefCopy240" localSheetId="10">#REF!</definedName>
    <definedName name="TextRefCopy240" localSheetId="20">#REF!</definedName>
    <definedName name="TextRefCopy240" localSheetId="11">#REF!</definedName>
    <definedName name="TextRefCopy240">#REF!</definedName>
    <definedName name="TextRefCopy241" localSheetId="6">#REF!</definedName>
    <definedName name="TextRefCopy241" localSheetId="10">#REF!</definedName>
    <definedName name="TextRefCopy241" localSheetId="20">#REF!</definedName>
    <definedName name="TextRefCopy241" localSheetId="11">#REF!</definedName>
    <definedName name="TextRefCopy241">#REF!</definedName>
    <definedName name="TextRefCopy242" localSheetId="6">#REF!</definedName>
    <definedName name="TextRefCopy242" localSheetId="10">#REF!</definedName>
    <definedName name="TextRefCopy242" localSheetId="20">#REF!</definedName>
    <definedName name="TextRefCopy242" localSheetId="11">#REF!</definedName>
    <definedName name="TextRefCopy242">#REF!</definedName>
    <definedName name="TextRefCopy243" localSheetId="6">#REF!</definedName>
    <definedName name="TextRefCopy243" localSheetId="10">#REF!</definedName>
    <definedName name="TextRefCopy243" localSheetId="20">#REF!</definedName>
    <definedName name="TextRefCopy243" localSheetId="11">#REF!</definedName>
    <definedName name="TextRefCopy243">#REF!</definedName>
    <definedName name="TextRefCopy244" localSheetId="6">#REF!</definedName>
    <definedName name="TextRefCopy244" localSheetId="10">#REF!</definedName>
    <definedName name="TextRefCopy244" localSheetId="20">#REF!</definedName>
    <definedName name="TextRefCopy244" localSheetId="11">#REF!</definedName>
    <definedName name="TextRefCopy244">#REF!</definedName>
    <definedName name="TextRefCopy245" localSheetId="6">#REF!</definedName>
    <definedName name="TextRefCopy245" localSheetId="10">#REF!</definedName>
    <definedName name="TextRefCopy245" localSheetId="20">#REF!</definedName>
    <definedName name="TextRefCopy245" localSheetId="11">#REF!</definedName>
    <definedName name="TextRefCopy245">#REF!</definedName>
    <definedName name="TextRefCopy246" localSheetId="6">#REF!</definedName>
    <definedName name="TextRefCopy246" localSheetId="10">#REF!</definedName>
    <definedName name="TextRefCopy246" localSheetId="20">#REF!</definedName>
    <definedName name="TextRefCopy246" localSheetId="11">#REF!</definedName>
    <definedName name="TextRefCopy246">#REF!</definedName>
    <definedName name="TextRefCopy247" localSheetId="6">#REF!</definedName>
    <definedName name="TextRefCopy247" localSheetId="10">#REF!</definedName>
    <definedName name="TextRefCopy247" localSheetId="20">#REF!</definedName>
    <definedName name="TextRefCopy247" localSheetId="11">#REF!</definedName>
    <definedName name="TextRefCopy247">#REF!</definedName>
    <definedName name="TextRefCopy248" localSheetId="6">#REF!</definedName>
    <definedName name="TextRefCopy248" localSheetId="10">#REF!</definedName>
    <definedName name="TextRefCopy248" localSheetId="20">#REF!</definedName>
    <definedName name="TextRefCopy248" localSheetId="11">#REF!</definedName>
    <definedName name="TextRefCopy248">#REF!</definedName>
    <definedName name="TextRefCopy249" localSheetId="6">#REF!</definedName>
    <definedName name="TextRefCopy249" localSheetId="10">#REF!</definedName>
    <definedName name="TextRefCopy249" localSheetId="20">#REF!</definedName>
    <definedName name="TextRefCopy249" localSheetId="11">#REF!</definedName>
    <definedName name="TextRefCopy249">#REF!</definedName>
    <definedName name="TextRefCopy25" localSheetId="6">#REF!</definedName>
    <definedName name="TextRefCopy25" localSheetId="10">#REF!</definedName>
    <definedName name="TextRefCopy25" localSheetId="20">#REF!</definedName>
    <definedName name="TextRefCopy25" localSheetId="11">#REF!</definedName>
    <definedName name="TextRefCopy25">#REF!</definedName>
    <definedName name="TextRefCopy251" localSheetId="6">#REF!</definedName>
    <definedName name="TextRefCopy251" localSheetId="10">#REF!</definedName>
    <definedName name="TextRefCopy251" localSheetId="20">#REF!</definedName>
    <definedName name="TextRefCopy251" localSheetId="11">#REF!</definedName>
    <definedName name="TextRefCopy251">#REF!</definedName>
    <definedName name="TextRefCopy253" localSheetId="6">#REF!</definedName>
    <definedName name="TextRefCopy253" localSheetId="10">#REF!</definedName>
    <definedName name="TextRefCopy253" localSheetId="20">#REF!</definedName>
    <definedName name="TextRefCopy253" localSheetId="11">#REF!</definedName>
    <definedName name="TextRefCopy253">#REF!</definedName>
    <definedName name="TextRefCopy255" localSheetId="6">#REF!</definedName>
    <definedName name="TextRefCopy255" localSheetId="10">#REF!</definedName>
    <definedName name="TextRefCopy255" localSheetId="20">#REF!</definedName>
    <definedName name="TextRefCopy255" localSheetId="11">#REF!</definedName>
    <definedName name="TextRefCopy255">#REF!</definedName>
    <definedName name="TextRefCopy257" localSheetId="6">#REF!</definedName>
    <definedName name="TextRefCopy257" localSheetId="10">#REF!</definedName>
    <definedName name="TextRefCopy257" localSheetId="20">#REF!</definedName>
    <definedName name="TextRefCopy257" localSheetId="11">#REF!</definedName>
    <definedName name="TextRefCopy257">#REF!</definedName>
    <definedName name="TextRefCopy259" localSheetId="6">#REF!</definedName>
    <definedName name="TextRefCopy259" localSheetId="10">#REF!</definedName>
    <definedName name="TextRefCopy259" localSheetId="20">#REF!</definedName>
    <definedName name="TextRefCopy259" localSheetId="11">#REF!</definedName>
    <definedName name="TextRefCopy259">#REF!</definedName>
    <definedName name="TextRefCopy26" localSheetId="20">#REF!</definedName>
    <definedName name="TextRefCopy26" localSheetId="11">#REF!</definedName>
    <definedName name="TextRefCopy26">#REF!</definedName>
    <definedName name="TextRefCopy261" localSheetId="6">#REF!</definedName>
    <definedName name="TextRefCopy261" localSheetId="10">#REF!</definedName>
    <definedName name="TextRefCopy261" localSheetId="20">#REF!</definedName>
    <definedName name="TextRefCopy261" localSheetId="11">#REF!</definedName>
    <definedName name="TextRefCopy261">#REF!</definedName>
    <definedName name="TextRefCopy264" localSheetId="11">#REF!</definedName>
    <definedName name="TextRefCopy264">#REF!</definedName>
    <definedName name="TextRefCopy265" localSheetId="11">#REF!</definedName>
    <definedName name="TextRefCopy265">#REF!</definedName>
    <definedName name="TextRefCopy27" localSheetId="6">#REF!</definedName>
    <definedName name="TextRefCopy27" localSheetId="10">#REF!</definedName>
    <definedName name="TextRefCopy27" localSheetId="20">#REF!</definedName>
    <definedName name="TextRefCopy27" localSheetId="11">#REF!</definedName>
    <definedName name="TextRefCopy27">#REF!</definedName>
    <definedName name="TextRefCopy28" localSheetId="6">#REF!</definedName>
    <definedName name="TextRefCopy28" localSheetId="10">#REF!</definedName>
    <definedName name="TextRefCopy28" localSheetId="20">#REF!</definedName>
    <definedName name="TextRefCopy28" localSheetId="11">#REF!</definedName>
    <definedName name="TextRefCopy28">#REF!</definedName>
    <definedName name="TextRefCopy29" localSheetId="6">#REF!</definedName>
    <definedName name="TextRefCopy29" localSheetId="10">#REF!</definedName>
    <definedName name="TextRefCopy29" localSheetId="20">#REF!</definedName>
    <definedName name="TextRefCopy29" localSheetId="11">#REF!</definedName>
    <definedName name="TextRefCopy29">#REF!</definedName>
    <definedName name="TextRefCopy3" localSheetId="6">#REF!</definedName>
    <definedName name="TextRefCopy3" localSheetId="10">#REF!</definedName>
    <definedName name="TextRefCopy3" localSheetId="20">#REF!</definedName>
    <definedName name="TextRefCopy3" localSheetId="11">#REF!</definedName>
    <definedName name="TextRefCopy3">#REF!</definedName>
    <definedName name="TextRefCopy30" localSheetId="6">#REF!</definedName>
    <definedName name="TextRefCopy30" localSheetId="10">#REF!</definedName>
    <definedName name="TextRefCopy30" localSheetId="20">#REF!</definedName>
    <definedName name="TextRefCopy30" localSheetId="11">#REF!</definedName>
    <definedName name="TextRefCopy30">#REF!</definedName>
    <definedName name="TextRefCopy31" localSheetId="20">#REF!</definedName>
    <definedName name="TextRefCopy31" localSheetId="11">#REF!</definedName>
    <definedName name="TextRefCopy31">#REF!</definedName>
    <definedName name="TextRefCopy32" localSheetId="6">#REF!</definedName>
    <definedName name="TextRefCopy32" localSheetId="10">#REF!</definedName>
    <definedName name="TextRefCopy32" localSheetId="20">#REF!</definedName>
    <definedName name="TextRefCopy32" localSheetId="11">#REF!</definedName>
    <definedName name="TextRefCopy32">#REF!</definedName>
    <definedName name="TextRefCopy323" localSheetId="11">#REF!</definedName>
    <definedName name="TextRefCopy323">#REF!</definedName>
    <definedName name="TextRefCopy33" localSheetId="6">#REF!</definedName>
    <definedName name="TextRefCopy33" localSheetId="10">#REF!</definedName>
    <definedName name="TextRefCopy33" localSheetId="20">#REF!</definedName>
    <definedName name="TextRefCopy33" localSheetId="11">#REF!</definedName>
    <definedName name="TextRefCopy33">#REF!</definedName>
    <definedName name="TextRefCopy34" localSheetId="6">#REF!</definedName>
    <definedName name="TextRefCopy34" localSheetId="10">#REF!</definedName>
    <definedName name="TextRefCopy34" localSheetId="20">#REF!</definedName>
    <definedName name="TextRefCopy34" localSheetId="11">#REF!</definedName>
    <definedName name="TextRefCopy34">#REF!</definedName>
    <definedName name="TextRefCopy35" localSheetId="20">#REF!</definedName>
    <definedName name="TextRefCopy35" localSheetId="11">#REF!</definedName>
    <definedName name="TextRefCopy35">#REF!</definedName>
    <definedName name="TextRefCopy36" localSheetId="6">#REF!</definedName>
    <definedName name="TextRefCopy36" localSheetId="10">#REF!</definedName>
    <definedName name="TextRefCopy36" localSheetId="20">#REF!</definedName>
    <definedName name="TextRefCopy36" localSheetId="11">#REF!</definedName>
    <definedName name="TextRefCopy36">#REF!</definedName>
    <definedName name="TextRefCopy37" localSheetId="11">#REF!</definedName>
    <definedName name="TextRefCopy37">#REF!</definedName>
    <definedName name="TextRefCopy38" localSheetId="6">#REF!</definedName>
    <definedName name="TextRefCopy38" localSheetId="10">#REF!</definedName>
    <definedName name="TextRefCopy38" localSheetId="20">#REF!</definedName>
    <definedName name="TextRefCopy38" localSheetId="11">#REF!</definedName>
    <definedName name="TextRefCopy38">#REF!</definedName>
    <definedName name="TextRefCopy39" localSheetId="6">#REF!</definedName>
    <definedName name="TextRefCopy39" localSheetId="10">#REF!</definedName>
    <definedName name="TextRefCopy39" localSheetId="20">#REF!</definedName>
    <definedName name="TextRefCopy39" localSheetId="11">#REF!</definedName>
    <definedName name="TextRefCopy39">#REF!</definedName>
    <definedName name="TextRefCopy4" localSheetId="6">#REF!</definedName>
    <definedName name="TextRefCopy4" localSheetId="10">#REF!</definedName>
    <definedName name="TextRefCopy4" localSheetId="20">#REF!</definedName>
    <definedName name="TextRefCopy4" localSheetId="11">#REF!</definedName>
    <definedName name="TextRefCopy4">#REF!</definedName>
    <definedName name="TextRefCopy40" localSheetId="6">#REF!</definedName>
    <definedName name="TextRefCopy40" localSheetId="10">#REF!</definedName>
    <definedName name="TextRefCopy40" localSheetId="20">#REF!</definedName>
    <definedName name="TextRefCopy40" localSheetId="11">#REF!</definedName>
    <definedName name="TextRefCopy40">#REF!</definedName>
    <definedName name="TextRefCopy41" localSheetId="6">#REF!</definedName>
    <definedName name="TextRefCopy41" localSheetId="10">#REF!</definedName>
    <definedName name="TextRefCopy41" localSheetId="20">#REF!</definedName>
    <definedName name="TextRefCopy41" localSheetId="11">#REF!</definedName>
    <definedName name="TextRefCopy41">#REF!</definedName>
    <definedName name="TextRefCopy42" localSheetId="6">#REF!</definedName>
    <definedName name="TextRefCopy42" localSheetId="10">#REF!</definedName>
    <definedName name="TextRefCopy42" localSheetId="20">#REF!</definedName>
    <definedName name="TextRefCopy42" localSheetId="11">#REF!</definedName>
    <definedName name="TextRefCopy42">#REF!</definedName>
    <definedName name="TextRefCopy43" localSheetId="6">#REF!</definedName>
    <definedName name="TextRefCopy43" localSheetId="10">#REF!</definedName>
    <definedName name="TextRefCopy43" localSheetId="20">#REF!</definedName>
    <definedName name="TextRefCopy43" localSheetId="11">#REF!</definedName>
    <definedName name="TextRefCopy43">#REF!</definedName>
    <definedName name="TextRefCopy44" localSheetId="6">#REF!</definedName>
    <definedName name="TextRefCopy44" localSheetId="10">#REF!</definedName>
    <definedName name="TextRefCopy44" localSheetId="20">#REF!</definedName>
    <definedName name="TextRefCopy44" localSheetId="11">#REF!</definedName>
    <definedName name="TextRefCopy44">#REF!</definedName>
    <definedName name="TextRefCopy45" localSheetId="6">#REF!</definedName>
    <definedName name="TextRefCopy45" localSheetId="10">#REF!</definedName>
    <definedName name="TextRefCopy45" localSheetId="20">#REF!</definedName>
    <definedName name="TextRefCopy45" localSheetId="11">#REF!</definedName>
    <definedName name="TextRefCopy45">#REF!</definedName>
    <definedName name="TextRefCopy46" localSheetId="6">#REF!</definedName>
    <definedName name="TextRefCopy46" localSheetId="10">#REF!</definedName>
    <definedName name="TextRefCopy46" localSheetId="20">#REF!</definedName>
    <definedName name="TextRefCopy46" localSheetId="11">#REF!</definedName>
    <definedName name="TextRefCopy46">#REF!</definedName>
    <definedName name="TextRefCopy47" localSheetId="6">#REF!</definedName>
    <definedName name="TextRefCopy47" localSheetId="10">#REF!</definedName>
    <definedName name="TextRefCopy47" localSheetId="20">#REF!</definedName>
    <definedName name="TextRefCopy47" localSheetId="11">#REF!</definedName>
    <definedName name="TextRefCopy47">#REF!</definedName>
    <definedName name="TextRefCopy48" localSheetId="6">#REF!</definedName>
    <definedName name="TextRefCopy48" localSheetId="10">#REF!</definedName>
    <definedName name="TextRefCopy48" localSheetId="20">#REF!</definedName>
    <definedName name="TextRefCopy48" localSheetId="11">#REF!</definedName>
    <definedName name="TextRefCopy48">#REF!</definedName>
    <definedName name="TextRefCopy49" localSheetId="6">#REF!</definedName>
    <definedName name="TextRefCopy49" localSheetId="10">#REF!</definedName>
    <definedName name="TextRefCopy49" localSheetId="20">#REF!</definedName>
    <definedName name="TextRefCopy49" localSheetId="11">#REF!</definedName>
    <definedName name="TextRefCopy49">#REF!</definedName>
    <definedName name="TextRefCopy5" localSheetId="6">#REF!</definedName>
    <definedName name="TextRefCopy5" localSheetId="10">#REF!</definedName>
    <definedName name="TextRefCopy5" localSheetId="20">#REF!</definedName>
    <definedName name="TextRefCopy5" localSheetId="11">#REF!</definedName>
    <definedName name="TextRefCopy5">#REF!</definedName>
    <definedName name="TextRefCopy50" localSheetId="6">#REF!</definedName>
    <definedName name="TextRefCopy50" localSheetId="10">#REF!</definedName>
    <definedName name="TextRefCopy50" localSheetId="20">#REF!</definedName>
    <definedName name="TextRefCopy50" localSheetId="11">#REF!</definedName>
    <definedName name="TextRefCopy50">#REF!</definedName>
    <definedName name="TextRefCopy51" localSheetId="6">#REF!</definedName>
    <definedName name="TextRefCopy51" localSheetId="10">#REF!</definedName>
    <definedName name="TextRefCopy51" localSheetId="20">#REF!</definedName>
    <definedName name="TextRefCopy51" localSheetId="11">#REF!</definedName>
    <definedName name="TextRefCopy51">#REF!</definedName>
    <definedName name="TextRefCopy52" localSheetId="6">#REF!</definedName>
    <definedName name="TextRefCopy52" localSheetId="10">#REF!</definedName>
    <definedName name="TextRefCopy52" localSheetId="20">#REF!</definedName>
    <definedName name="TextRefCopy52" localSheetId="11">#REF!</definedName>
    <definedName name="TextRefCopy52">#REF!</definedName>
    <definedName name="TextRefCopy53" localSheetId="20">#REF!</definedName>
    <definedName name="TextRefCopy53" localSheetId="11">#REF!</definedName>
    <definedName name="TextRefCopy53">#REF!</definedName>
    <definedName name="TextRefCopy54" localSheetId="6">#REF!</definedName>
    <definedName name="TextRefCopy54" localSheetId="10">#REF!</definedName>
    <definedName name="TextRefCopy54" localSheetId="20">#REF!</definedName>
    <definedName name="TextRefCopy54" localSheetId="11">#REF!</definedName>
    <definedName name="TextRefCopy54">#REF!</definedName>
    <definedName name="TextRefCopy55" localSheetId="6">#REF!</definedName>
    <definedName name="TextRefCopy55" localSheetId="10">#REF!</definedName>
    <definedName name="TextRefCopy55" localSheetId="20">#REF!</definedName>
    <definedName name="TextRefCopy55" localSheetId="11">#REF!</definedName>
    <definedName name="TextRefCopy55">#REF!</definedName>
    <definedName name="TextRefCopy56" localSheetId="6">#REF!</definedName>
    <definedName name="TextRefCopy56" localSheetId="10">#REF!</definedName>
    <definedName name="TextRefCopy56" localSheetId="20">#REF!</definedName>
    <definedName name="TextRefCopy56" localSheetId="11">#REF!</definedName>
    <definedName name="TextRefCopy56">#REF!</definedName>
    <definedName name="TextRefCopy58" localSheetId="6">#REF!</definedName>
    <definedName name="TextRefCopy58" localSheetId="10">#REF!</definedName>
    <definedName name="TextRefCopy58" localSheetId="20">#REF!</definedName>
    <definedName name="TextRefCopy58" localSheetId="11">#REF!</definedName>
    <definedName name="TextRefCopy58">#REF!</definedName>
    <definedName name="TextRefCopy59" localSheetId="20">#REF!</definedName>
    <definedName name="TextRefCopy59" localSheetId="11">#REF!</definedName>
    <definedName name="TextRefCopy59">#REF!</definedName>
    <definedName name="TextRefCopy6" localSheetId="6">#REF!</definedName>
    <definedName name="TextRefCopy6" localSheetId="10">#REF!</definedName>
    <definedName name="TextRefCopy6" localSheetId="20">#REF!</definedName>
    <definedName name="TextRefCopy6" localSheetId="11">#REF!</definedName>
    <definedName name="TextRefCopy6">#REF!</definedName>
    <definedName name="TextRefCopy60" localSheetId="6">#REF!</definedName>
    <definedName name="TextRefCopy60" localSheetId="10">#REF!</definedName>
    <definedName name="TextRefCopy60" localSheetId="20">#REF!</definedName>
    <definedName name="TextRefCopy60" localSheetId="11">#REF!</definedName>
    <definedName name="TextRefCopy60">#REF!</definedName>
    <definedName name="TextRefCopy62" localSheetId="6">#REF!</definedName>
    <definedName name="TextRefCopy62" localSheetId="10">#REF!</definedName>
    <definedName name="TextRefCopy62" localSheetId="20">#REF!</definedName>
    <definedName name="TextRefCopy62" localSheetId="11">#REF!</definedName>
    <definedName name="TextRefCopy62">#REF!</definedName>
    <definedName name="TextRefCopy63" localSheetId="11">#REF!</definedName>
    <definedName name="TextRefCopy63">#REF!</definedName>
    <definedName name="TextRefCopy64" localSheetId="6">#REF!</definedName>
    <definedName name="TextRefCopy64" localSheetId="10">#REF!</definedName>
    <definedName name="TextRefCopy64" localSheetId="20">#REF!</definedName>
    <definedName name="TextRefCopy64" localSheetId="11">#REF!</definedName>
    <definedName name="TextRefCopy64">#REF!</definedName>
    <definedName name="TextRefCopy65" localSheetId="6">#REF!</definedName>
    <definedName name="TextRefCopy65" localSheetId="10">#REF!</definedName>
    <definedName name="TextRefCopy65" localSheetId="20">#REF!</definedName>
    <definedName name="TextRefCopy65" localSheetId="11">#REF!</definedName>
    <definedName name="TextRefCopy65">#REF!</definedName>
    <definedName name="TextRefCopy66" localSheetId="11">#REF!</definedName>
    <definedName name="TextRefCopy66">#REF!</definedName>
    <definedName name="TextRefCopy67" localSheetId="6">#REF!</definedName>
    <definedName name="TextRefCopy67" localSheetId="10">#REF!</definedName>
    <definedName name="TextRefCopy67" localSheetId="20">#REF!</definedName>
    <definedName name="TextRefCopy67" localSheetId="11">#REF!</definedName>
    <definedName name="TextRefCopy67">#REF!</definedName>
    <definedName name="TextRefCopy68" localSheetId="6">#REF!</definedName>
    <definedName name="TextRefCopy68" localSheetId="10">#REF!</definedName>
    <definedName name="TextRefCopy68" localSheetId="20">#REF!</definedName>
    <definedName name="TextRefCopy68" localSheetId="11">#REF!</definedName>
    <definedName name="TextRefCopy68">#REF!</definedName>
    <definedName name="TextRefCopy69" localSheetId="6">#REF!</definedName>
    <definedName name="TextRefCopy69" localSheetId="10">#REF!</definedName>
    <definedName name="TextRefCopy69" localSheetId="20">#REF!</definedName>
    <definedName name="TextRefCopy69" localSheetId="11">#REF!</definedName>
    <definedName name="TextRefCopy69">#REF!</definedName>
    <definedName name="TextRefCopy7" localSheetId="6">#REF!</definedName>
    <definedName name="TextRefCopy7" localSheetId="10">#REF!</definedName>
    <definedName name="TextRefCopy7" localSheetId="20">#REF!</definedName>
    <definedName name="TextRefCopy7" localSheetId="11">#REF!</definedName>
    <definedName name="TextRefCopy7">#REF!</definedName>
    <definedName name="TextRefCopy70" localSheetId="6">#REF!</definedName>
    <definedName name="TextRefCopy70" localSheetId="10">#REF!</definedName>
    <definedName name="TextRefCopy70" localSheetId="20">#REF!</definedName>
    <definedName name="TextRefCopy70" localSheetId="11">#REF!</definedName>
    <definedName name="TextRefCopy70">#REF!</definedName>
    <definedName name="TextRefCopy71" localSheetId="6">#REF!</definedName>
    <definedName name="TextRefCopy71" localSheetId="10">#REF!</definedName>
    <definedName name="TextRefCopy71" localSheetId="20">#REF!</definedName>
    <definedName name="TextRefCopy71" localSheetId="11">#REF!</definedName>
    <definedName name="TextRefCopy71">#REF!</definedName>
    <definedName name="TextRefCopy72" localSheetId="6">#REF!</definedName>
    <definedName name="TextRefCopy72" localSheetId="10">#REF!</definedName>
    <definedName name="TextRefCopy72" localSheetId="20">#REF!</definedName>
    <definedName name="TextRefCopy72" localSheetId="11">#REF!</definedName>
    <definedName name="TextRefCopy72">#REF!</definedName>
    <definedName name="TextRefCopy73" localSheetId="6">#REF!</definedName>
    <definedName name="TextRefCopy73" localSheetId="10">#REF!</definedName>
    <definedName name="TextRefCopy73" localSheetId="20">#REF!</definedName>
    <definedName name="TextRefCopy73" localSheetId="11">#REF!</definedName>
    <definedName name="TextRefCopy73">#REF!</definedName>
    <definedName name="TextRefCopy74" localSheetId="6">#REF!</definedName>
    <definedName name="TextRefCopy74" localSheetId="10">#REF!</definedName>
    <definedName name="TextRefCopy74" localSheetId="20">#REF!</definedName>
    <definedName name="TextRefCopy74" localSheetId="11">#REF!</definedName>
    <definedName name="TextRefCopy74">#REF!</definedName>
    <definedName name="TextRefCopy75" localSheetId="6">#REF!</definedName>
    <definedName name="TextRefCopy75" localSheetId="10">#REF!</definedName>
    <definedName name="TextRefCopy75" localSheetId="20">#REF!</definedName>
    <definedName name="TextRefCopy75" localSheetId="11">#REF!</definedName>
    <definedName name="TextRefCopy75">#REF!</definedName>
    <definedName name="TextRefCopy77" localSheetId="20">#REF!</definedName>
    <definedName name="TextRefCopy77" localSheetId="11">#REF!</definedName>
    <definedName name="TextRefCopy77">#REF!</definedName>
    <definedName name="TextRefCopy78" localSheetId="6">#REF!</definedName>
    <definedName name="TextRefCopy78" localSheetId="10">#REF!</definedName>
    <definedName name="TextRefCopy78" localSheetId="20">#REF!</definedName>
    <definedName name="TextRefCopy78" localSheetId="11">#REF!</definedName>
    <definedName name="TextRefCopy78">#REF!</definedName>
    <definedName name="TextRefCopy79" localSheetId="6">#REF!</definedName>
    <definedName name="TextRefCopy79" localSheetId="10">#REF!</definedName>
    <definedName name="TextRefCopy79" localSheetId="20">#REF!</definedName>
    <definedName name="TextRefCopy79" localSheetId="11">#REF!</definedName>
    <definedName name="TextRefCopy79">#REF!</definedName>
    <definedName name="TextRefCopy8" localSheetId="6">#REF!</definedName>
    <definedName name="TextRefCopy8" localSheetId="10">#REF!</definedName>
    <definedName name="TextRefCopy8" localSheetId="20">#REF!</definedName>
    <definedName name="TextRefCopy8" localSheetId="11">#REF!</definedName>
    <definedName name="TextRefCopy8">#REF!</definedName>
    <definedName name="TextRefCopy80" localSheetId="6">#REF!</definedName>
    <definedName name="TextRefCopy80" localSheetId="10">#REF!</definedName>
    <definedName name="TextRefCopy80" localSheetId="20">#REF!</definedName>
    <definedName name="TextRefCopy80" localSheetId="11">#REF!</definedName>
    <definedName name="TextRefCopy80">#REF!</definedName>
    <definedName name="TextRefCopy81" localSheetId="20">#REF!</definedName>
    <definedName name="TextRefCopy81" localSheetId="11">#REF!</definedName>
    <definedName name="TextRefCopy81">#REF!</definedName>
    <definedName name="TextRefCopy82" localSheetId="6">#REF!</definedName>
    <definedName name="TextRefCopy82" localSheetId="10">#REF!</definedName>
    <definedName name="TextRefCopy82" localSheetId="20">#REF!</definedName>
    <definedName name="TextRefCopy82" localSheetId="11">#REF!</definedName>
    <definedName name="TextRefCopy82">#REF!</definedName>
    <definedName name="TextRefCopy83" localSheetId="20">#REF!</definedName>
    <definedName name="TextRefCopy83" localSheetId="11">#REF!</definedName>
    <definedName name="TextRefCopy83">#REF!</definedName>
    <definedName name="TextRefCopy84" localSheetId="20">#REF!</definedName>
    <definedName name="TextRefCopy84" localSheetId="11">#REF!</definedName>
    <definedName name="TextRefCopy84">#REF!</definedName>
    <definedName name="TextRefCopy85" localSheetId="20">#REF!</definedName>
    <definedName name="TextRefCopy85" localSheetId="11">#REF!</definedName>
    <definedName name="TextRefCopy85">#REF!</definedName>
    <definedName name="TextRefCopy86" localSheetId="6">#REF!</definedName>
    <definedName name="TextRefCopy86" localSheetId="10">#REF!</definedName>
    <definedName name="TextRefCopy86" localSheetId="20">#REF!</definedName>
    <definedName name="TextRefCopy86" localSheetId="11">#REF!</definedName>
    <definedName name="TextRefCopy86">#REF!</definedName>
    <definedName name="TextRefCopy87" localSheetId="6">#REF!</definedName>
    <definedName name="TextRefCopy87" localSheetId="10">#REF!</definedName>
    <definedName name="TextRefCopy87" localSheetId="20">#REF!</definedName>
    <definedName name="TextRefCopy87" localSheetId="11">#REF!</definedName>
    <definedName name="TextRefCopy87">#REF!</definedName>
    <definedName name="TextRefCopy88" localSheetId="20">#REF!</definedName>
    <definedName name="TextRefCopy88" localSheetId="11">#REF!</definedName>
    <definedName name="TextRefCopy88">#REF!</definedName>
    <definedName name="TextRefCopy89" localSheetId="6">#REF!</definedName>
    <definedName name="TextRefCopy89" localSheetId="10">#REF!</definedName>
    <definedName name="TextRefCopy89" localSheetId="20">#REF!</definedName>
    <definedName name="TextRefCopy89" localSheetId="11">#REF!</definedName>
    <definedName name="TextRefCopy89">#REF!</definedName>
    <definedName name="TextRefCopy9" localSheetId="6">#REF!</definedName>
    <definedName name="TextRefCopy9" localSheetId="10">#REF!</definedName>
    <definedName name="TextRefCopy9" localSheetId="20">#REF!</definedName>
    <definedName name="TextRefCopy9" localSheetId="11">#REF!</definedName>
    <definedName name="TextRefCopy9">#REF!</definedName>
    <definedName name="TextRefCopy90" localSheetId="11">#REF!</definedName>
    <definedName name="TextRefCopy90">#REF!</definedName>
    <definedName name="TextRefCopy91" localSheetId="11">#REF!</definedName>
    <definedName name="TextRefCopy91">#REF!</definedName>
    <definedName name="TextRefCopy92" localSheetId="11">#REF!</definedName>
    <definedName name="TextRefCopy92">#REF!</definedName>
    <definedName name="TextRefCopy93" localSheetId="11">#REF!</definedName>
    <definedName name="TextRefCopy93">#REF!</definedName>
    <definedName name="TextRefCopy94" localSheetId="6">#REF!</definedName>
    <definedName name="TextRefCopy94" localSheetId="10">#REF!</definedName>
    <definedName name="TextRefCopy94" localSheetId="20">#REF!</definedName>
    <definedName name="TextRefCopy94" localSheetId="11">#REF!</definedName>
    <definedName name="TextRefCopy94">#REF!</definedName>
    <definedName name="TextRefCopy95" localSheetId="6">#REF!</definedName>
    <definedName name="TextRefCopy95" localSheetId="10">#REF!</definedName>
    <definedName name="TextRefCopy95" localSheetId="20">#REF!</definedName>
    <definedName name="TextRefCopy95" localSheetId="11">#REF!</definedName>
    <definedName name="TextRefCopy95">#REF!</definedName>
    <definedName name="TextRefCopy96" localSheetId="6">#REF!</definedName>
    <definedName name="TextRefCopy96" localSheetId="10">#REF!</definedName>
    <definedName name="TextRefCopy96" localSheetId="20">#REF!</definedName>
    <definedName name="TextRefCopy96" localSheetId="11">#REF!</definedName>
    <definedName name="TextRefCopy96">#REF!</definedName>
    <definedName name="TextRefCopy97" localSheetId="6">#REF!</definedName>
    <definedName name="TextRefCopy97" localSheetId="10">#REF!</definedName>
    <definedName name="TextRefCopy97" localSheetId="20">#REF!</definedName>
    <definedName name="TextRefCopy97" localSheetId="11">#REF!</definedName>
    <definedName name="TextRefCopy97">#REF!</definedName>
    <definedName name="TextRefCopy98" localSheetId="11">#REF!</definedName>
    <definedName name="TextRefCopy98">#REF!</definedName>
    <definedName name="TextRefCopy99" localSheetId="6">#REF!</definedName>
    <definedName name="TextRefCopy99" localSheetId="10">#REF!</definedName>
    <definedName name="TextRefCopy99" localSheetId="20">#REF!</definedName>
    <definedName name="TextRefCopy99" localSheetId="11">#REF!</definedName>
    <definedName name="TextRefCopy99">#REF!</definedName>
    <definedName name="TextRefCopyRangeCount" hidden="1">92</definedName>
    <definedName name="tl" localSheetId="6">#REF!</definedName>
    <definedName name="tl" localSheetId="10">#REF!</definedName>
    <definedName name="tl" localSheetId="20">#REF!</definedName>
    <definedName name="tl" localSheetId="11">#REF!</definedName>
    <definedName name="tl">#REF!</definedName>
    <definedName name="TO" localSheetId="6">#REF!</definedName>
    <definedName name="TO" localSheetId="10">#REF!</definedName>
    <definedName name="TO" localSheetId="20">#REF!</definedName>
    <definedName name="TO" localSheetId="11">#REF!</definedName>
    <definedName name="TO">#REF!</definedName>
    <definedName name="TOto" localSheetId="6">#REF!</definedName>
    <definedName name="TOto" localSheetId="10">#REF!</definedName>
    <definedName name="TOto" localSheetId="20">#REF!</definedName>
    <definedName name="TOto" localSheetId="11">#REF!</definedName>
    <definedName name="TOto">#REF!</definedName>
    <definedName name="toto1" localSheetId="6">#REF!</definedName>
    <definedName name="toto1" localSheetId="10">#REF!</definedName>
    <definedName name="toto1" localSheetId="20">#REF!</definedName>
    <definedName name="toto1" localSheetId="11">#REF!</definedName>
    <definedName name="toto1">#REF!</definedName>
    <definedName name="toto2" localSheetId="6">#REF!</definedName>
    <definedName name="toto2" localSheetId="10">#REF!</definedName>
    <definedName name="toto2" localSheetId="20">#REF!</definedName>
    <definedName name="toto2" localSheetId="11">#REF!</definedName>
    <definedName name="toto2">#REF!</definedName>
    <definedName name="toto4" localSheetId="6">#REF!</definedName>
    <definedName name="toto4" localSheetId="10">#REF!</definedName>
    <definedName name="toto4" localSheetId="20">#REF!</definedName>
    <definedName name="toto4" localSheetId="11">#REF!</definedName>
    <definedName name="toto4">#REF!</definedName>
    <definedName name="tototo" localSheetId="6">#REF!</definedName>
    <definedName name="tototo" localSheetId="10">#REF!</definedName>
    <definedName name="tototo" localSheetId="20">#REF!</definedName>
    <definedName name="tototo" localSheetId="11">#REF!</definedName>
    <definedName name="tototo">#REF!</definedName>
    <definedName name="tt" localSheetId="11">#REF!</definedName>
    <definedName name="tt">#REF!</definedName>
    <definedName name="TWT" localSheetId="6">#REF!</definedName>
    <definedName name="TWT" localSheetId="10">#REF!</definedName>
    <definedName name="TWT" localSheetId="20">#REF!</definedName>
    <definedName name="TWT" localSheetId="11">#REF!</definedName>
    <definedName name="TWT">#REF!</definedName>
    <definedName name="tzxs" localSheetId="6">#REF!</definedName>
    <definedName name="tzxs" localSheetId="10">#REF!</definedName>
    <definedName name="tzxs" localSheetId="20">#REF!</definedName>
    <definedName name="tzxs" localSheetId="11">#REF!</definedName>
    <definedName name="tzxs">#REF!</definedName>
    <definedName name="u" localSheetId="20">#REF!</definedName>
    <definedName name="u" localSheetId="11">#REF!</definedName>
    <definedName name="u">#REF!</definedName>
    <definedName name="UEP" localSheetId="6">#REF!</definedName>
    <definedName name="UEP" localSheetId="10">#REF!</definedName>
    <definedName name="UEP" localSheetId="20">#REF!</definedName>
    <definedName name="UEP" localSheetId="11">#REF!</definedName>
    <definedName name="UEP">#REF!</definedName>
    <definedName name="ueuu" localSheetId="6">#REF!</definedName>
    <definedName name="ueuu" localSheetId="10">#REF!</definedName>
    <definedName name="ueuu" localSheetId="20">#REF!</definedName>
    <definedName name="ueuu" localSheetId="11">#REF!</definedName>
    <definedName name="ueuu">#REF!</definedName>
    <definedName name="ueuu1" localSheetId="6">#REF!</definedName>
    <definedName name="ueuu1" localSheetId="10">#REF!</definedName>
    <definedName name="ueuu1" localSheetId="20">#REF!</definedName>
    <definedName name="ueuu1" localSheetId="11">#REF!</definedName>
    <definedName name="ueuu1">#REF!</definedName>
    <definedName name="ueuu2" localSheetId="6">#REF!</definedName>
    <definedName name="ueuu2" localSheetId="10">#REF!</definedName>
    <definedName name="ueuu2" localSheetId="20">#REF!</definedName>
    <definedName name="ueuu2" localSheetId="11">#REF!</definedName>
    <definedName name="ueuu2">#REF!</definedName>
    <definedName name="ueuu3" localSheetId="6">#REF!</definedName>
    <definedName name="ueuu3" localSheetId="10">#REF!</definedName>
    <definedName name="ueuu3" localSheetId="20">#REF!</definedName>
    <definedName name="ueuu3" localSheetId="11">#REF!</definedName>
    <definedName name="ueuu3">#REF!</definedName>
    <definedName name="ueuu4" localSheetId="6">#REF!</definedName>
    <definedName name="ueuu4" localSheetId="10">#REF!</definedName>
    <definedName name="ueuu4" localSheetId="20">#REF!</definedName>
    <definedName name="ueuu4" localSheetId="11">#REF!</definedName>
    <definedName name="ueuu4">#REF!</definedName>
    <definedName name="ueuu5" localSheetId="6">#REF!</definedName>
    <definedName name="ueuu5" localSheetId="10">#REF!</definedName>
    <definedName name="ueuu5" localSheetId="20">#REF!</definedName>
    <definedName name="ueuu5" localSheetId="11">#REF!</definedName>
    <definedName name="ueuu5">#REF!</definedName>
    <definedName name="ueuu6" localSheetId="6">#REF!</definedName>
    <definedName name="ueuu6" localSheetId="10">#REF!</definedName>
    <definedName name="ueuu6" localSheetId="20">#REF!</definedName>
    <definedName name="ueuu6" localSheetId="11">#REF!</definedName>
    <definedName name="ueuu6">#REF!</definedName>
    <definedName name="ueuu7" localSheetId="6">#REF!</definedName>
    <definedName name="ueuu7" localSheetId="10">#REF!</definedName>
    <definedName name="ueuu7" localSheetId="20">#REF!</definedName>
    <definedName name="ueuu7" localSheetId="11">#REF!</definedName>
    <definedName name="ueuu7">#REF!</definedName>
    <definedName name="ueuu8" localSheetId="6">#REF!</definedName>
    <definedName name="ueuu8" localSheetId="10">#REF!</definedName>
    <definedName name="ueuu8" localSheetId="20">#REF!</definedName>
    <definedName name="ueuu8" localSheetId="11">#REF!</definedName>
    <definedName name="ueuu8">#REF!</definedName>
    <definedName name="ueuue" localSheetId="6">#REF!</definedName>
    <definedName name="ueuue" localSheetId="10">#REF!</definedName>
    <definedName name="ueuue" localSheetId="20">#REF!</definedName>
    <definedName name="ueuue" localSheetId="11">#REF!</definedName>
    <definedName name="ueuue">#REF!</definedName>
    <definedName name="ueuueu" localSheetId="6">#REF!</definedName>
    <definedName name="ueuueu" localSheetId="10">#REF!</definedName>
    <definedName name="ueuueu" localSheetId="20">#REF!</definedName>
    <definedName name="ueuueu" localSheetId="11">#REF!</definedName>
    <definedName name="ueuueu">#REF!</definedName>
    <definedName name="ueuuuu" localSheetId="6">#REF!</definedName>
    <definedName name="ueuuuu" localSheetId="10">#REF!</definedName>
    <definedName name="ueuuuu" localSheetId="20">#REF!</definedName>
    <definedName name="ueuuuu" localSheetId="11">#REF!</definedName>
    <definedName name="ueuuuu">#REF!</definedName>
    <definedName name="ufp" localSheetId="6">#REF!</definedName>
    <definedName name="ufp" localSheetId="10">#REF!</definedName>
    <definedName name="ufp" localSheetId="20">#REF!</definedName>
    <definedName name="ufp" localSheetId="11">#REF!</definedName>
    <definedName name="ufp">#REF!</definedName>
    <definedName name="ufpp" localSheetId="6">#REF!</definedName>
    <definedName name="ufpp" localSheetId="10">#REF!</definedName>
    <definedName name="ufpp" localSheetId="20">#REF!</definedName>
    <definedName name="ufpp" localSheetId="11">#REF!</definedName>
    <definedName name="ufpp">#REF!</definedName>
    <definedName name="ufpp2" localSheetId="6">#REF!</definedName>
    <definedName name="ufpp2" localSheetId="10">#REF!</definedName>
    <definedName name="ufpp2" localSheetId="20">#REF!</definedName>
    <definedName name="ufpp2" localSheetId="11">#REF!</definedName>
    <definedName name="ufpp2">#REF!</definedName>
    <definedName name="ufpr" localSheetId="6">#REF!</definedName>
    <definedName name="ufpr" localSheetId="10">#REF!</definedName>
    <definedName name="ufpr" localSheetId="20">#REF!</definedName>
    <definedName name="ufpr" localSheetId="11">#REF!</definedName>
    <definedName name="ufpr">#REF!</definedName>
    <definedName name="ufprin200107061436402" localSheetId="6">#REF!</definedName>
    <definedName name="ufprin200107061436402" localSheetId="10">#REF!</definedName>
    <definedName name="ufprin200107061436402" localSheetId="20">#REF!</definedName>
    <definedName name="ufprin200107061436402" localSheetId="11">#REF!</definedName>
    <definedName name="ufprin200107061436402">#REF!</definedName>
    <definedName name="ufprin200407061436401" localSheetId="6">#REF!</definedName>
    <definedName name="ufprin200407061436401" localSheetId="10">#REF!</definedName>
    <definedName name="ufprin200407061436401" localSheetId="20">#REF!</definedName>
    <definedName name="ufprin200407061436401" localSheetId="11">#REF!</definedName>
    <definedName name="ufprin200407061436401">#REF!</definedName>
    <definedName name="ufprin22" localSheetId="6">#REF!</definedName>
    <definedName name="ufprin22" localSheetId="10">#REF!</definedName>
    <definedName name="ufprin22" localSheetId="20">#REF!</definedName>
    <definedName name="ufprin22" localSheetId="11">#REF!</definedName>
    <definedName name="ufprin22">#REF!</definedName>
    <definedName name="ufprn" localSheetId="6">#REF!</definedName>
    <definedName name="ufprn" localSheetId="10">#REF!</definedName>
    <definedName name="ufprn" localSheetId="20">#REF!</definedName>
    <definedName name="ufprn" localSheetId="11">#REF!</definedName>
    <definedName name="ufprn">#REF!</definedName>
    <definedName name="ufprn1" localSheetId="6">#REF!</definedName>
    <definedName name="ufprn1" localSheetId="10">#REF!</definedName>
    <definedName name="ufprn1" localSheetId="20">#REF!</definedName>
    <definedName name="ufprn1" localSheetId="11">#REF!</definedName>
    <definedName name="ufprn1">#REF!</definedName>
    <definedName name="ufprn10" localSheetId="6">#REF!</definedName>
    <definedName name="ufprn10" localSheetId="10">#REF!</definedName>
    <definedName name="ufprn10" localSheetId="20">#REF!</definedName>
    <definedName name="ufprn10" localSheetId="11">#REF!</definedName>
    <definedName name="ufprn10">#REF!</definedName>
    <definedName name="ufprn11" localSheetId="6">#REF!</definedName>
    <definedName name="ufprn11" localSheetId="10">#REF!</definedName>
    <definedName name="ufprn11" localSheetId="20">#REF!</definedName>
    <definedName name="ufprn11" localSheetId="11">#REF!</definedName>
    <definedName name="ufprn11">#REF!</definedName>
    <definedName name="ufprn12" localSheetId="6">#REF!</definedName>
    <definedName name="ufprn12" localSheetId="10">#REF!</definedName>
    <definedName name="ufprn12" localSheetId="20">#REF!</definedName>
    <definedName name="ufprn12" localSheetId="11">#REF!</definedName>
    <definedName name="ufprn12">#REF!</definedName>
    <definedName name="ufprn13" localSheetId="6">#REF!</definedName>
    <definedName name="ufprn13" localSheetId="10">#REF!</definedName>
    <definedName name="ufprn13" localSheetId="20">#REF!</definedName>
    <definedName name="ufprn13" localSheetId="11">#REF!</definedName>
    <definedName name="ufprn13">#REF!</definedName>
    <definedName name="ufprn14" localSheetId="6">#REF!</definedName>
    <definedName name="ufprn14" localSheetId="10">#REF!</definedName>
    <definedName name="ufprn14" localSheetId="20">#REF!</definedName>
    <definedName name="ufprn14" localSheetId="11">#REF!</definedName>
    <definedName name="ufprn14">#REF!</definedName>
    <definedName name="ufprn15" localSheetId="6">#REF!</definedName>
    <definedName name="ufprn15" localSheetId="10">#REF!</definedName>
    <definedName name="ufprn15" localSheetId="20">#REF!</definedName>
    <definedName name="ufprn15" localSheetId="11">#REF!</definedName>
    <definedName name="ufprn15">#REF!</definedName>
    <definedName name="ufprn16" localSheetId="6">#REF!</definedName>
    <definedName name="ufprn16" localSheetId="10">#REF!</definedName>
    <definedName name="ufprn16" localSheetId="20">#REF!</definedName>
    <definedName name="ufprn16" localSheetId="11">#REF!</definedName>
    <definedName name="ufprn16">#REF!</definedName>
    <definedName name="ufprn17" localSheetId="6">#REF!</definedName>
    <definedName name="ufprn17" localSheetId="10">#REF!</definedName>
    <definedName name="ufprn17" localSheetId="20">#REF!</definedName>
    <definedName name="ufprn17" localSheetId="11">#REF!</definedName>
    <definedName name="ufprn17">#REF!</definedName>
    <definedName name="ufprn18" localSheetId="6">#REF!</definedName>
    <definedName name="ufprn18" localSheetId="10">#REF!</definedName>
    <definedName name="ufprn18" localSheetId="20">#REF!</definedName>
    <definedName name="ufprn18" localSheetId="11">#REF!</definedName>
    <definedName name="ufprn18">#REF!</definedName>
    <definedName name="ufprn19" localSheetId="6">#REF!</definedName>
    <definedName name="ufprn19" localSheetId="10">#REF!</definedName>
    <definedName name="ufprn19" localSheetId="20">#REF!</definedName>
    <definedName name="ufprn19" localSheetId="11">#REF!</definedName>
    <definedName name="ufprn19">#REF!</definedName>
    <definedName name="ufprn2" localSheetId="6">#REF!</definedName>
    <definedName name="ufprn2" localSheetId="10">#REF!</definedName>
    <definedName name="ufprn2" localSheetId="20">#REF!</definedName>
    <definedName name="ufprn2" localSheetId="11">#REF!</definedName>
    <definedName name="ufprn2">#REF!</definedName>
    <definedName name="ufprn20" localSheetId="6">#REF!</definedName>
    <definedName name="ufprn20" localSheetId="10">#REF!</definedName>
    <definedName name="ufprn20" localSheetId="20">#REF!</definedName>
    <definedName name="ufprn20" localSheetId="11">#REF!</definedName>
    <definedName name="ufprn20">#REF!</definedName>
    <definedName name="ufprn2000" localSheetId="6">#REF!</definedName>
    <definedName name="ufprn2000" localSheetId="10">#REF!</definedName>
    <definedName name="ufprn2000" localSheetId="20">#REF!</definedName>
    <definedName name="ufprn2000" localSheetId="11">#REF!</definedName>
    <definedName name="ufprn2000">#REF!</definedName>
    <definedName name="ufprn2001" localSheetId="6">#REF!</definedName>
    <definedName name="ufprn2001" localSheetId="10">#REF!</definedName>
    <definedName name="ufprn2001" localSheetId="20">#REF!</definedName>
    <definedName name="ufprn2001" localSheetId="11">#REF!</definedName>
    <definedName name="ufprn2001">#REF!</definedName>
    <definedName name="ufprn200102250826203" localSheetId="6">#REF!</definedName>
    <definedName name="ufprn200102250826203" localSheetId="10">#REF!</definedName>
    <definedName name="ufprn200102250826203" localSheetId="20">#REF!</definedName>
    <definedName name="ufprn200102250826203" localSheetId="11">#REF!</definedName>
    <definedName name="ufprn200102250826203">#REF!</definedName>
    <definedName name="ufprn20010225082624" localSheetId="6">#REF!</definedName>
    <definedName name="ufprn20010225082624" localSheetId="10">#REF!</definedName>
    <definedName name="ufprn20010225082624" localSheetId="20">#REF!</definedName>
    <definedName name="ufprn20010225082624" localSheetId="11">#REF!</definedName>
    <definedName name="ufprn20010225082624">#REF!</definedName>
    <definedName name="ufprn20010228083659" localSheetId="6">#REF!</definedName>
    <definedName name="ufprn20010228083659" localSheetId="10">#REF!</definedName>
    <definedName name="ufprn20010228083659" localSheetId="20">#REF!</definedName>
    <definedName name="ufprn20010228083659" localSheetId="11">#REF!</definedName>
    <definedName name="ufprn20010228083659">#REF!</definedName>
    <definedName name="UFPrn20010325140349" localSheetId="6">#REF!</definedName>
    <definedName name="UFPrn20010325140349" localSheetId="10">#REF!</definedName>
    <definedName name="UFPrn20010325140349" localSheetId="20">#REF!</definedName>
    <definedName name="UFPrn20010325140349" localSheetId="11">#REF!</definedName>
    <definedName name="UFPrn20010325140349">#REF!</definedName>
    <definedName name="UFPrn20010325140520" localSheetId="6">#REF!</definedName>
    <definedName name="UFPrn20010325140520" localSheetId="10">#REF!</definedName>
    <definedName name="UFPrn20010325140520" localSheetId="20">#REF!</definedName>
    <definedName name="UFPrn20010325140520" localSheetId="11">#REF!</definedName>
    <definedName name="UFPrn20010325140520">#REF!</definedName>
    <definedName name="UFPrn20010325140628" localSheetId="6">#REF!</definedName>
    <definedName name="UFPrn20010325140628" localSheetId="10">#REF!</definedName>
    <definedName name="UFPrn20010325140628" localSheetId="20">#REF!</definedName>
    <definedName name="UFPrn20010325140628" localSheetId="11">#REF!</definedName>
    <definedName name="UFPrn20010325140628">#REF!</definedName>
    <definedName name="UFPrn20010330160430" localSheetId="6">#REF!</definedName>
    <definedName name="UFPrn20010330160430" localSheetId="10">#REF!</definedName>
    <definedName name="UFPrn20010330160430" localSheetId="20">#REF!</definedName>
    <definedName name="UFPrn20010330160430" localSheetId="11">#REF!</definedName>
    <definedName name="UFPrn20010330160430">#REF!</definedName>
    <definedName name="UFPrn20020129135956" localSheetId="6">#REF!</definedName>
    <definedName name="UFPrn20020129135956" localSheetId="10">#REF!</definedName>
    <definedName name="UFPrn20020129135956" localSheetId="20">#REF!</definedName>
    <definedName name="UFPrn20020129135956" localSheetId="11">#REF!</definedName>
    <definedName name="UFPrn20020129135956">#REF!</definedName>
    <definedName name="UFPrn20020129140103" localSheetId="6">#REF!</definedName>
    <definedName name="UFPrn20020129140103" localSheetId="10">#REF!</definedName>
    <definedName name="UFPrn20020129140103" localSheetId="20">#REF!</definedName>
    <definedName name="UFPrn20020129140103" localSheetId="11">#REF!</definedName>
    <definedName name="UFPrn20020129140103">#REF!</definedName>
    <definedName name="UFPrn20020129140202" localSheetId="6">#REF!</definedName>
    <definedName name="UFPrn20020129140202" localSheetId="10">#REF!</definedName>
    <definedName name="UFPrn20020129140202" localSheetId="20">#REF!</definedName>
    <definedName name="UFPrn20020129140202" localSheetId="11">#REF!</definedName>
    <definedName name="UFPrn20020129140202">#REF!</definedName>
    <definedName name="UFPrn20020129140404" localSheetId="6">#REF!</definedName>
    <definedName name="UFPrn20020129140404" localSheetId="10">#REF!</definedName>
    <definedName name="UFPrn20020129140404" localSheetId="20">#REF!</definedName>
    <definedName name="UFPrn20020129140404" localSheetId="11">#REF!</definedName>
    <definedName name="UFPrn20020129140404">#REF!</definedName>
    <definedName name="UFPrn20020129140614" localSheetId="6">#REF!</definedName>
    <definedName name="UFPrn20020129140614" localSheetId="10">#REF!</definedName>
    <definedName name="UFPrn20020129140614" localSheetId="20">#REF!</definedName>
    <definedName name="UFPrn20020129140614" localSheetId="11">#REF!</definedName>
    <definedName name="UFPrn20020129140614">#REF!</definedName>
    <definedName name="UFPrn20020129140653" localSheetId="6">#REF!</definedName>
    <definedName name="UFPrn20020129140653" localSheetId="10">#REF!</definedName>
    <definedName name="UFPrn20020129140653" localSheetId="20">#REF!</definedName>
    <definedName name="UFPrn20020129140653" localSheetId="11">#REF!</definedName>
    <definedName name="UFPrn20020129140653">#REF!</definedName>
    <definedName name="UFPrn20020129140730" localSheetId="6">#REF!</definedName>
    <definedName name="UFPrn20020129140730" localSheetId="10">#REF!</definedName>
    <definedName name="UFPrn20020129140730" localSheetId="20">#REF!</definedName>
    <definedName name="UFPrn20020129140730" localSheetId="11">#REF!</definedName>
    <definedName name="UFPrn20020129140730">#REF!</definedName>
    <definedName name="UFPrn20020226135559" localSheetId="6">#REF!</definedName>
    <definedName name="UFPrn20020226135559" localSheetId="10">#REF!</definedName>
    <definedName name="UFPrn20020226135559" localSheetId="20">#REF!</definedName>
    <definedName name="UFPrn20020226135559" localSheetId="11">#REF!</definedName>
    <definedName name="UFPrn20020226135559">#REF!</definedName>
    <definedName name="UFPrn20020301105444" localSheetId="6">#REF!</definedName>
    <definedName name="UFPrn20020301105444" localSheetId="10">#REF!</definedName>
    <definedName name="UFPrn20020301105444" localSheetId="20">#REF!</definedName>
    <definedName name="UFPrn20020301105444" localSheetId="11">#REF!</definedName>
    <definedName name="UFPrn20020301105444">#REF!</definedName>
    <definedName name="UFPrn20020302105521" localSheetId="6">#REF!</definedName>
    <definedName name="UFPrn20020302105521" localSheetId="10">#REF!</definedName>
    <definedName name="UFPrn20020302105521" localSheetId="20">#REF!</definedName>
    <definedName name="UFPrn20020302105521" localSheetId="11">#REF!</definedName>
    <definedName name="UFPrn20020302105521">#REF!</definedName>
    <definedName name="UFPrn20020302105727" localSheetId="6">#REF!</definedName>
    <definedName name="UFPrn20020302105727" localSheetId="10">#REF!</definedName>
    <definedName name="UFPrn20020302105727" localSheetId="20">#REF!</definedName>
    <definedName name="UFPrn20020302105727" localSheetId="11">#REF!</definedName>
    <definedName name="UFPrn20020302105727">#REF!</definedName>
    <definedName name="UFPrn20020302141827" localSheetId="6">#REF!</definedName>
    <definedName name="UFPrn20020302141827" localSheetId="10">#REF!</definedName>
    <definedName name="UFPrn20020302141827" localSheetId="20">#REF!</definedName>
    <definedName name="UFPrn20020302141827" localSheetId="11">#REF!</definedName>
    <definedName name="UFPrn20020302141827">#REF!</definedName>
    <definedName name="UFPrn20020302141857" localSheetId="6">#REF!</definedName>
    <definedName name="UFPrn20020302141857" localSheetId="10">#REF!</definedName>
    <definedName name="UFPrn20020302141857" localSheetId="20">#REF!</definedName>
    <definedName name="UFPrn20020302141857" localSheetId="11">#REF!</definedName>
    <definedName name="UFPrn20020302141857">#REF!</definedName>
    <definedName name="UFPrn20020302141928" localSheetId="6">#REF!</definedName>
    <definedName name="UFPrn20020302141928" localSheetId="10">#REF!</definedName>
    <definedName name="UFPrn20020302141928" localSheetId="20">#REF!</definedName>
    <definedName name="UFPrn20020302141928" localSheetId="11">#REF!</definedName>
    <definedName name="UFPrn20020302141928">#REF!</definedName>
    <definedName name="UFPrn20020302142027" localSheetId="6">#REF!</definedName>
    <definedName name="UFPrn20020302142027" localSheetId="10">#REF!</definedName>
    <definedName name="UFPrn20020302142027" localSheetId="20">#REF!</definedName>
    <definedName name="UFPrn20020302142027" localSheetId="11">#REF!</definedName>
    <definedName name="UFPrn20020302142027">#REF!</definedName>
    <definedName name="UFPrn20020302142059" localSheetId="6">#REF!</definedName>
    <definedName name="UFPrn20020302142059" localSheetId="10">#REF!</definedName>
    <definedName name="UFPrn20020302142059" localSheetId="20">#REF!</definedName>
    <definedName name="UFPrn20020302142059" localSheetId="11">#REF!</definedName>
    <definedName name="UFPrn20020302142059">#REF!</definedName>
    <definedName name="UFPrn20020302142134" localSheetId="6">#REF!</definedName>
    <definedName name="UFPrn20020302142134" localSheetId="10">#REF!</definedName>
    <definedName name="UFPrn20020302142134" localSheetId="20">#REF!</definedName>
    <definedName name="UFPrn20020302142134" localSheetId="11">#REF!</definedName>
    <definedName name="UFPrn20020302142134">#REF!</definedName>
    <definedName name="UFPrn20020302142201" localSheetId="6">#REF!</definedName>
    <definedName name="UFPrn20020302142201" localSheetId="10">#REF!</definedName>
    <definedName name="UFPrn20020302142201" localSheetId="20">#REF!</definedName>
    <definedName name="UFPrn20020302142201" localSheetId="11">#REF!</definedName>
    <definedName name="UFPrn20020302142201">#REF!</definedName>
    <definedName name="UFPrn20020302142228" localSheetId="6">#REF!</definedName>
    <definedName name="UFPrn20020302142228" localSheetId="10">#REF!</definedName>
    <definedName name="UFPrn20020302142228" localSheetId="20">#REF!</definedName>
    <definedName name="UFPrn20020302142228" localSheetId="11">#REF!</definedName>
    <definedName name="UFPrn20020302142228">#REF!</definedName>
    <definedName name="UFPrn20020303093924" localSheetId="6">#REF!</definedName>
    <definedName name="UFPrn20020303093924" localSheetId="10">#REF!</definedName>
    <definedName name="UFPrn20020303093924" localSheetId="20">#REF!</definedName>
    <definedName name="UFPrn20020303093924" localSheetId="11">#REF!</definedName>
    <definedName name="UFPrn20020303093924">#REF!</definedName>
    <definedName name="UFPrn20020303094009" localSheetId="6">#REF!</definedName>
    <definedName name="UFPrn20020303094009" localSheetId="10">#REF!</definedName>
    <definedName name="UFPrn20020303094009" localSheetId="20">#REF!</definedName>
    <definedName name="UFPrn20020303094009" localSheetId="11">#REF!</definedName>
    <definedName name="UFPrn20020303094009">#REF!</definedName>
    <definedName name="UFPrn20020303094056" localSheetId="6">#REF!</definedName>
    <definedName name="UFPrn20020303094056" localSheetId="10">#REF!</definedName>
    <definedName name="UFPrn20020303094056" localSheetId="20">#REF!</definedName>
    <definedName name="UFPrn20020303094056" localSheetId="11">#REF!</definedName>
    <definedName name="UFPrn20020303094056">#REF!</definedName>
    <definedName name="UFPrn20020303094209" localSheetId="6">#REF!</definedName>
    <definedName name="UFPrn20020303094209" localSheetId="10">#REF!</definedName>
    <definedName name="UFPrn20020303094209" localSheetId="20">#REF!</definedName>
    <definedName name="UFPrn20020303094209" localSheetId="11">#REF!</definedName>
    <definedName name="UFPrn20020303094209">#REF!</definedName>
    <definedName name="UFPrn20020303094311" localSheetId="6">#REF!</definedName>
    <definedName name="UFPrn20020303094311" localSheetId="10">#REF!</definedName>
    <definedName name="UFPrn20020303094311" localSheetId="20">#REF!</definedName>
    <definedName name="UFPrn20020303094311" localSheetId="11">#REF!</definedName>
    <definedName name="UFPrn20020303094311">#REF!</definedName>
    <definedName name="UFPrn20020303094400" localSheetId="6">#REF!</definedName>
    <definedName name="UFPrn20020303094400" localSheetId="10">#REF!</definedName>
    <definedName name="UFPrn20020303094400" localSheetId="20">#REF!</definedName>
    <definedName name="UFPrn20020303094400" localSheetId="11">#REF!</definedName>
    <definedName name="UFPrn20020303094400">#REF!</definedName>
    <definedName name="UFPrn20020309161349" localSheetId="6">#REF!</definedName>
    <definedName name="UFPrn20020309161349" localSheetId="10">#REF!</definedName>
    <definedName name="UFPrn20020309161349" localSheetId="20">#REF!</definedName>
    <definedName name="UFPrn20020309161349" localSheetId="11">#REF!</definedName>
    <definedName name="UFPrn20020309161349">#REF!</definedName>
    <definedName name="UFPrn20020310141243" localSheetId="6">#REF!</definedName>
    <definedName name="UFPrn20020310141243" localSheetId="10">#REF!</definedName>
    <definedName name="UFPrn20020310141243" localSheetId="20">#REF!</definedName>
    <definedName name="UFPrn20020310141243" localSheetId="11">#REF!</definedName>
    <definedName name="UFPrn20020310141243">#REF!</definedName>
    <definedName name="UFPrn20020310141327" localSheetId="6">#REF!</definedName>
    <definedName name="UFPrn20020310141327" localSheetId="10">#REF!</definedName>
    <definedName name="UFPrn20020310141327" localSheetId="20">#REF!</definedName>
    <definedName name="UFPrn20020310141327" localSheetId="11">#REF!</definedName>
    <definedName name="UFPrn20020310141327">#REF!</definedName>
    <definedName name="UFPrn20020310141355" localSheetId="6">#REF!</definedName>
    <definedName name="UFPrn20020310141355" localSheetId="10">#REF!</definedName>
    <definedName name="UFPrn20020310141355" localSheetId="20">#REF!</definedName>
    <definedName name="UFPrn20020310141355" localSheetId="11">#REF!</definedName>
    <definedName name="UFPrn20020310141355">#REF!</definedName>
    <definedName name="UFPrn20020310141456" localSheetId="6">#REF!</definedName>
    <definedName name="UFPrn20020310141456" localSheetId="10">#REF!</definedName>
    <definedName name="UFPrn20020310141456" localSheetId="20">#REF!</definedName>
    <definedName name="UFPrn20020310141456" localSheetId="11">#REF!</definedName>
    <definedName name="UFPrn20020310141456">#REF!</definedName>
    <definedName name="UFPrn20020310141539" localSheetId="6">#REF!</definedName>
    <definedName name="UFPrn20020310141539" localSheetId="10">#REF!</definedName>
    <definedName name="UFPrn20020310141539" localSheetId="20">#REF!</definedName>
    <definedName name="UFPrn20020310141539" localSheetId="11">#REF!</definedName>
    <definedName name="UFPrn20020310141539">#REF!</definedName>
    <definedName name="UFPrn20020310141619" localSheetId="6">#REF!</definedName>
    <definedName name="UFPrn20020310141619" localSheetId="10">#REF!</definedName>
    <definedName name="UFPrn20020310141619" localSheetId="20">#REF!</definedName>
    <definedName name="UFPrn20020310141619" localSheetId="11">#REF!</definedName>
    <definedName name="UFPrn20020310141619">#REF!</definedName>
    <definedName name="UFPrn20020310141651" localSheetId="6">#REF!</definedName>
    <definedName name="UFPrn20020310141651" localSheetId="10">#REF!</definedName>
    <definedName name="UFPrn20020310141651" localSheetId="20">#REF!</definedName>
    <definedName name="UFPrn20020310141651" localSheetId="11">#REF!</definedName>
    <definedName name="UFPrn20020310141651">#REF!</definedName>
    <definedName name="UFPrn20020310142531" localSheetId="6">#REF!</definedName>
    <definedName name="UFPrn20020310142531" localSheetId="10">#REF!</definedName>
    <definedName name="UFPrn20020310142531" localSheetId="20">#REF!</definedName>
    <definedName name="UFPrn20020310142531" localSheetId="11">#REF!</definedName>
    <definedName name="UFPrn20020310142531">#REF!</definedName>
    <definedName name="UFPrn20020310142744" localSheetId="6">#REF!</definedName>
    <definedName name="UFPrn20020310142744" localSheetId="10">#REF!</definedName>
    <definedName name="UFPrn20020310142744" localSheetId="20">#REF!</definedName>
    <definedName name="UFPrn20020310142744" localSheetId="11">#REF!</definedName>
    <definedName name="UFPrn20020310142744">#REF!</definedName>
    <definedName name="UFPrn20020310142844" localSheetId="6">#REF!</definedName>
    <definedName name="UFPrn20020310142844" localSheetId="10">#REF!</definedName>
    <definedName name="UFPrn20020310142844" localSheetId="20">#REF!</definedName>
    <definedName name="UFPrn20020310142844" localSheetId="11">#REF!</definedName>
    <definedName name="UFPrn20020310142844">#REF!</definedName>
    <definedName name="UFPrn20020310143105" localSheetId="6">#REF!</definedName>
    <definedName name="UFPrn20020310143105" localSheetId="10">#REF!</definedName>
    <definedName name="UFPrn20020310143105" localSheetId="20">#REF!</definedName>
    <definedName name="UFPrn20020310143105" localSheetId="11">#REF!</definedName>
    <definedName name="UFPrn20020310143105">#REF!</definedName>
    <definedName name="UFPrn20020310143151" localSheetId="6">#REF!</definedName>
    <definedName name="UFPrn20020310143151" localSheetId="10">#REF!</definedName>
    <definedName name="UFPrn20020310143151" localSheetId="20">#REF!</definedName>
    <definedName name="UFPrn20020310143151" localSheetId="11">#REF!</definedName>
    <definedName name="UFPrn20020310143151">#REF!</definedName>
    <definedName name="UFPrn20020317170200" localSheetId="6">#REF!</definedName>
    <definedName name="UFPrn20020317170200" localSheetId="10">#REF!</definedName>
    <definedName name="UFPrn20020317170200" localSheetId="20">#REF!</definedName>
    <definedName name="UFPrn20020317170200" localSheetId="11">#REF!</definedName>
    <definedName name="UFPrn20020317170200">#REF!</definedName>
    <definedName name="UFPrn20020426154224" localSheetId="6">#REF!</definedName>
    <definedName name="UFPrn20020426154224" localSheetId="10">#REF!</definedName>
    <definedName name="UFPrn20020426154224" localSheetId="20">#REF!</definedName>
    <definedName name="UFPrn20020426154224" localSheetId="11">#REF!</definedName>
    <definedName name="UFPrn20020426154224">#REF!</definedName>
    <definedName name="UFPrn20030114114347" localSheetId="6">#REF!</definedName>
    <definedName name="UFPrn20030114114347" localSheetId="10">#REF!</definedName>
    <definedName name="UFPrn20030114114347" localSheetId="20">#REF!</definedName>
    <definedName name="UFPrn20030114114347" localSheetId="11">#REF!</definedName>
    <definedName name="UFPrn20030114114347">#REF!</definedName>
    <definedName name="UFPrn20030114121044" localSheetId="6">#REF!</definedName>
    <definedName name="UFPrn20030114121044" localSheetId="10">#REF!</definedName>
    <definedName name="UFPrn20030114121044" localSheetId="20">#REF!</definedName>
    <definedName name="UFPrn20030114121044" localSheetId="11">#REF!</definedName>
    <definedName name="UFPrn20030114121044">#REF!</definedName>
    <definedName name="UFPrn20030114121335" localSheetId="6">#REF!</definedName>
    <definedName name="UFPrn20030114121335" localSheetId="10">#REF!</definedName>
    <definedName name="UFPrn20030114121335" localSheetId="20">#REF!</definedName>
    <definedName name="UFPrn20030114121335" localSheetId="11">#REF!</definedName>
    <definedName name="UFPrn20030114121335">#REF!</definedName>
    <definedName name="UFPrn20030121163953" localSheetId="6">#REF!</definedName>
    <definedName name="UFPrn20030121163953" localSheetId="10">#REF!</definedName>
    <definedName name="UFPrn20030121163953" localSheetId="20">#REF!</definedName>
    <definedName name="UFPrn20030121163953" localSheetId="11">#REF!</definedName>
    <definedName name="UFPrn20030121163953">#REF!</definedName>
    <definedName name="UFPrn20030122142829" localSheetId="6">#REF!</definedName>
    <definedName name="UFPrn20030122142829" localSheetId="10">#REF!</definedName>
    <definedName name="UFPrn20030122142829" localSheetId="20">#REF!</definedName>
    <definedName name="UFPrn20030122142829" localSheetId="11">#REF!</definedName>
    <definedName name="UFPrn20030122142829">#REF!</definedName>
    <definedName name="UFPrn20030122153511" localSheetId="6">#REF!</definedName>
    <definedName name="UFPrn20030122153511" localSheetId="10">#REF!</definedName>
    <definedName name="UFPrn20030122153511" localSheetId="20">#REF!</definedName>
    <definedName name="UFPrn20030122153511" localSheetId="11">#REF!</definedName>
    <definedName name="UFPrn20030122153511">#REF!</definedName>
    <definedName name="UFPrn20030122153625" localSheetId="6">#REF!</definedName>
    <definedName name="UFPrn20030122153625" localSheetId="10">#REF!</definedName>
    <definedName name="UFPrn20030122153625" localSheetId="20">#REF!</definedName>
    <definedName name="UFPrn20030122153625" localSheetId="11">#REF!</definedName>
    <definedName name="UFPrn20030122153625">#REF!</definedName>
    <definedName name="UFPrn20030122153756" localSheetId="6">#REF!</definedName>
    <definedName name="UFPrn20030122153756" localSheetId="10">#REF!</definedName>
    <definedName name="UFPrn20030122153756" localSheetId="20">#REF!</definedName>
    <definedName name="UFPrn20030122153756" localSheetId="11">#REF!</definedName>
    <definedName name="UFPrn20030122153756">#REF!</definedName>
    <definedName name="UFPrn20030124134435" localSheetId="6">#REF!</definedName>
    <definedName name="UFPrn20030124134435" localSheetId="10">#REF!</definedName>
    <definedName name="UFPrn20030124134435" localSheetId="20">#REF!</definedName>
    <definedName name="UFPrn20030124134435" localSheetId="11">#REF!</definedName>
    <definedName name="UFPrn20030124134435">#REF!</definedName>
    <definedName name="UFPrn20030124140351" localSheetId="6">#REF!</definedName>
    <definedName name="UFPrn20030124140351" localSheetId="10">#REF!</definedName>
    <definedName name="UFPrn20030124140351" localSheetId="20">#REF!</definedName>
    <definedName name="UFPrn20030124140351" localSheetId="11">#REF!</definedName>
    <definedName name="UFPrn20030124140351">#REF!</definedName>
    <definedName name="UFPrn20030124172428" localSheetId="6">#REF!</definedName>
    <definedName name="UFPrn20030124172428" localSheetId="10">#REF!</definedName>
    <definedName name="UFPrn20030124172428" localSheetId="20">#REF!</definedName>
    <definedName name="UFPrn20030124172428" localSheetId="11">#REF!</definedName>
    <definedName name="UFPrn20030124172428">#REF!</definedName>
    <definedName name="UFPrn20030125120233" localSheetId="6">#REF!</definedName>
    <definedName name="UFPrn20030125120233" localSheetId="10">#REF!</definedName>
    <definedName name="UFPrn20030125120233" localSheetId="20">#REF!</definedName>
    <definedName name="UFPrn20030125120233" localSheetId="11">#REF!</definedName>
    <definedName name="UFPrn20030125120233">#REF!</definedName>
    <definedName name="UFPrn20030127115559" localSheetId="6">#REF!</definedName>
    <definedName name="UFPrn20030127115559" localSheetId="10">#REF!</definedName>
    <definedName name="UFPrn20030127115559" localSheetId="20">#REF!</definedName>
    <definedName name="UFPrn20030127115559" localSheetId="11">#REF!</definedName>
    <definedName name="UFPrn20030127115559">#REF!</definedName>
    <definedName name="UFPrn20030224102032" localSheetId="6">#REF!</definedName>
    <definedName name="UFPrn20030224102032" localSheetId="10">#REF!</definedName>
    <definedName name="UFPrn20030224102032" localSheetId="20">#REF!</definedName>
    <definedName name="UFPrn20030224102032" localSheetId="11">#REF!</definedName>
    <definedName name="UFPrn20030224102032">#REF!</definedName>
    <definedName name="UFPrn20030224102105" localSheetId="6">#REF!</definedName>
    <definedName name="UFPrn20030224102105" localSheetId="10">#REF!</definedName>
    <definedName name="UFPrn20030224102105" localSheetId="20">#REF!</definedName>
    <definedName name="UFPrn20030224102105" localSheetId="11">#REF!</definedName>
    <definedName name="UFPrn20030224102105">#REF!</definedName>
    <definedName name="UFPrn20030224102131" localSheetId="6">#REF!</definedName>
    <definedName name="UFPrn20030224102131" localSheetId="10">#REF!</definedName>
    <definedName name="UFPrn20030224102131" localSheetId="20">#REF!</definedName>
    <definedName name="UFPrn20030224102131" localSheetId="11">#REF!</definedName>
    <definedName name="UFPrn20030224102131">#REF!</definedName>
    <definedName name="UFPrn20030224102243" localSheetId="6">#REF!</definedName>
    <definedName name="UFPrn20030224102243" localSheetId="10">#REF!</definedName>
    <definedName name="UFPrn20030224102243" localSheetId="20">#REF!</definedName>
    <definedName name="UFPrn20030224102243" localSheetId="11">#REF!</definedName>
    <definedName name="UFPrn20030224102243">#REF!</definedName>
    <definedName name="UFPrn20030224102303" localSheetId="6">#REF!</definedName>
    <definedName name="UFPrn20030224102303" localSheetId="10">#REF!</definedName>
    <definedName name="UFPrn20030224102303" localSheetId="20">#REF!</definedName>
    <definedName name="UFPrn20030224102303" localSheetId="11">#REF!</definedName>
    <definedName name="UFPrn20030224102303">#REF!</definedName>
    <definedName name="UFPrn20030224102325" localSheetId="6">#REF!</definedName>
    <definedName name="UFPrn20030224102325" localSheetId="10">#REF!</definedName>
    <definedName name="UFPrn20030224102325" localSheetId="20">#REF!</definedName>
    <definedName name="UFPrn20030224102325" localSheetId="11">#REF!</definedName>
    <definedName name="UFPrn20030224102325">#REF!</definedName>
    <definedName name="UFPrn20030224102345" localSheetId="6">#REF!</definedName>
    <definedName name="UFPrn20030224102345" localSheetId="10">#REF!</definedName>
    <definedName name="UFPrn20030224102345" localSheetId="20">#REF!</definedName>
    <definedName name="UFPrn20030224102345" localSheetId="11">#REF!</definedName>
    <definedName name="UFPrn20030224102345">#REF!</definedName>
    <definedName name="UFPrn20030224102408" localSheetId="6">#REF!</definedName>
    <definedName name="UFPrn20030224102408" localSheetId="10">#REF!</definedName>
    <definedName name="UFPrn20030224102408" localSheetId="20">#REF!</definedName>
    <definedName name="UFPrn20030224102408" localSheetId="11">#REF!</definedName>
    <definedName name="UFPrn20030224102408">#REF!</definedName>
    <definedName name="UFPrn20030224102428" localSheetId="6">#REF!</definedName>
    <definedName name="UFPrn20030224102428" localSheetId="10">#REF!</definedName>
    <definedName name="UFPrn20030224102428" localSheetId="20">#REF!</definedName>
    <definedName name="UFPrn20030224102428" localSheetId="11">#REF!</definedName>
    <definedName name="UFPrn20030224102428">#REF!</definedName>
    <definedName name="UFPrn20030224102502" localSheetId="6">#REF!</definedName>
    <definedName name="UFPrn20030224102502" localSheetId="10">#REF!</definedName>
    <definedName name="UFPrn20030224102502" localSheetId="20">#REF!</definedName>
    <definedName name="UFPrn20030224102502" localSheetId="11">#REF!</definedName>
    <definedName name="UFPrn20030224102502">#REF!</definedName>
    <definedName name="UFPrn20030224102529" localSheetId="6">#REF!</definedName>
    <definedName name="UFPrn20030224102529" localSheetId="10">#REF!</definedName>
    <definedName name="UFPrn20030224102529" localSheetId="20">#REF!</definedName>
    <definedName name="UFPrn20030224102529" localSheetId="11">#REF!</definedName>
    <definedName name="UFPrn20030224102529">#REF!</definedName>
    <definedName name="UFPrn20030224103132" localSheetId="6">#REF!</definedName>
    <definedName name="UFPrn20030224103132" localSheetId="10">#REF!</definedName>
    <definedName name="UFPrn20030224103132" localSheetId="20">#REF!</definedName>
    <definedName name="UFPrn20030224103132" localSheetId="11">#REF!</definedName>
    <definedName name="UFPrn20030224103132">#REF!</definedName>
    <definedName name="UFPrn20030224103146" localSheetId="6">#REF!</definedName>
    <definedName name="UFPrn20030224103146" localSheetId="10">#REF!</definedName>
    <definedName name="UFPrn20030224103146" localSheetId="20">#REF!</definedName>
    <definedName name="UFPrn20030224103146" localSheetId="11">#REF!</definedName>
    <definedName name="UFPrn20030224103146">#REF!</definedName>
    <definedName name="UFPrn20030224103159" localSheetId="6">#REF!</definedName>
    <definedName name="UFPrn20030224103159" localSheetId="10">#REF!</definedName>
    <definedName name="UFPrn20030224103159" localSheetId="20">#REF!</definedName>
    <definedName name="UFPrn20030224103159" localSheetId="11">#REF!</definedName>
    <definedName name="UFPrn20030224103159">#REF!</definedName>
    <definedName name="UFPrn20030224103213" localSheetId="6">#REF!</definedName>
    <definedName name="UFPrn20030224103213" localSheetId="10">#REF!</definedName>
    <definedName name="UFPrn20030224103213" localSheetId="20">#REF!</definedName>
    <definedName name="UFPrn20030224103213" localSheetId="11">#REF!</definedName>
    <definedName name="UFPrn20030224103213">#REF!</definedName>
    <definedName name="UFPrn20030224103226" localSheetId="6">#REF!</definedName>
    <definedName name="UFPrn20030224103226" localSheetId="10">#REF!</definedName>
    <definedName name="UFPrn20030224103226" localSheetId="20">#REF!</definedName>
    <definedName name="UFPrn20030224103226" localSheetId="11">#REF!</definedName>
    <definedName name="UFPrn20030224103226">#REF!</definedName>
    <definedName name="UFPrn20030224103238" localSheetId="6">#REF!</definedName>
    <definedName name="UFPrn20030224103238" localSheetId="10">#REF!</definedName>
    <definedName name="UFPrn20030224103238" localSheetId="20">#REF!</definedName>
    <definedName name="UFPrn20030224103238" localSheetId="11">#REF!</definedName>
    <definedName name="UFPrn20030224103238">#REF!</definedName>
    <definedName name="UFPrn20030224103250" localSheetId="6">#REF!</definedName>
    <definedName name="UFPrn20030224103250" localSheetId="10">#REF!</definedName>
    <definedName name="UFPrn20030224103250" localSheetId="20">#REF!</definedName>
    <definedName name="UFPrn20030224103250" localSheetId="11">#REF!</definedName>
    <definedName name="UFPrn20030224103250">#REF!</definedName>
    <definedName name="UFPrn20030224103303" localSheetId="6">#REF!</definedName>
    <definedName name="UFPrn20030224103303" localSheetId="10">#REF!</definedName>
    <definedName name="UFPrn20030224103303" localSheetId="20">#REF!</definedName>
    <definedName name="UFPrn20030224103303" localSheetId="11">#REF!</definedName>
    <definedName name="UFPrn20030224103303">#REF!</definedName>
    <definedName name="UFPrn20030224103317" localSheetId="6">#REF!</definedName>
    <definedName name="UFPrn20030224103317" localSheetId="10">#REF!</definedName>
    <definedName name="UFPrn20030224103317" localSheetId="20">#REF!</definedName>
    <definedName name="UFPrn20030224103317" localSheetId="11">#REF!</definedName>
    <definedName name="UFPrn20030224103317">#REF!</definedName>
    <definedName name="UFPrn20030224103331" localSheetId="6">#REF!</definedName>
    <definedName name="UFPrn20030224103331" localSheetId="10">#REF!</definedName>
    <definedName name="UFPrn20030224103331" localSheetId="20">#REF!</definedName>
    <definedName name="UFPrn20030224103331" localSheetId="11">#REF!</definedName>
    <definedName name="UFPrn20030224103331">#REF!</definedName>
    <definedName name="UFPrn20030224103343" localSheetId="6">#REF!</definedName>
    <definedName name="UFPrn20030224103343" localSheetId="10">#REF!</definedName>
    <definedName name="UFPrn20030224103343" localSheetId="20">#REF!</definedName>
    <definedName name="UFPrn20030224103343" localSheetId="11">#REF!</definedName>
    <definedName name="UFPrn20030224103343">#REF!</definedName>
    <definedName name="UFPrn20030224103357" localSheetId="6">#REF!</definedName>
    <definedName name="UFPrn20030224103357" localSheetId="10">#REF!</definedName>
    <definedName name="UFPrn20030224103357" localSheetId="20">#REF!</definedName>
    <definedName name="UFPrn20030224103357" localSheetId="11">#REF!</definedName>
    <definedName name="UFPrn20030224103357">#REF!</definedName>
    <definedName name="UFPrn20040225082620" localSheetId="6">#REF!</definedName>
    <definedName name="UFPrn20040225082620" localSheetId="10">#REF!</definedName>
    <definedName name="UFPrn20040225082620" localSheetId="20">#REF!</definedName>
    <definedName name="UFPrn20040225082620" localSheetId="11">#REF!</definedName>
    <definedName name="UFPrn20040225082620">#REF!</definedName>
    <definedName name="ufprn200402250826201" localSheetId="6">#REF!</definedName>
    <definedName name="ufprn200402250826201" localSheetId="10">#REF!</definedName>
    <definedName name="ufprn200402250826201" localSheetId="20">#REF!</definedName>
    <definedName name="ufprn200402250826201" localSheetId="11">#REF!</definedName>
    <definedName name="ufprn200402250826201">#REF!</definedName>
    <definedName name="UFPrn20040228083657" localSheetId="6">#REF!</definedName>
    <definedName name="UFPrn20040228083657" localSheetId="10">#REF!</definedName>
    <definedName name="UFPrn20040228083657" localSheetId="20">#REF!</definedName>
    <definedName name="UFPrn20040228083657" localSheetId="11">#REF!</definedName>
    <definedName name="UFPrn20040228083657">#REF!</definedName>
    <definedName name="ufprn200402280836571" localSheetId="6">#REF!</definedName>
    <definedName name="ufprn200402280836571" localSheetId="10">#REF!</definedName>
    <definedName name="ufprn200402280836571" localSheetId="20">#REF!</definedName>
    <definedName name="ufprn200402280836571" localSheetId="11">#REF!</definedName>
    <definedName name="ufprn200402280836571">#REF!</definedName>
    <definedName name="ufprn200402280836572" localSheetId="6">#REF!</definedName>
    <definedName name="ufprn200402280836572" localSheetId="10">#REF!</definedName>
    <definedName name="ufprn200402280836572" localSheetId="20">#REF!</definedName>
    <definedName name="ufprn200402280836572" localSheetId="11">#REF!</definedName>
    <definedName name="ufprn200402280836572">#REF!</definedName>
    <definedName name="UFPrn20040301131947" localSheetId="6">#REF!</definedName>
    <definedName name="UFPrn20040301131947" localSheetId="10">#REF!</definedName>
    <definedName name="UFPrn20040301131947" localSheetId="20">#REF!</definedName>
    <definedName name="UFPrn20040301131947" localSheetId="11">#REF!</definedName>
    <definedName name="UFPrn20040301131947">#REF!</definedName>
    <definedName name="UFPrn20040301133734" localSheetId="11">#REF!</definedName>
    <definedName name="UFPrn20040301133734">#REF!</definedName>
    <definedName name="UFPrn20040320141840" localSheetId="6">#REF!</definedName>
    <definedName name="UFPrn20040320141840" localSheetId="10">#REF!</definedName>
    <definedName name="UFPrn20040320141840" localSheetId="20">#REF!</definedName>
    <definedName name="UFPrn20040320141840" localSheetId="11">#REF!</definedName>
    <definedName name="UFPrn20040320141840">#REF!</definedName>
    <definedName name="ufprn200403201418401" localSheetId="6">#REF!</definedName>
    <definedName name="ufprn200403201418401" localSheetId="10">#REF!</definedName>
    <definedName name="ufprn200403201418401" localSheetId="20">#REF!</definedName>
    <definedName name="ufprn200403201418401" localSheetId="11">#REF!</definedName>
    <definedName name="ufprn200403201418401">#REF!</definedName>
    <definedName name="ufprn20040320141842" localSheetId="6">#REF!</definedName>
    <definedName name="ufprn20040320141842" localSheetId="10">#REF!</definedName>
    <definedName name="ufprn20040320141842" localSheetId="20">#REF!</definedName>
    <definedName name="ufprn20040320141842" localSheetId="11">#REF!</definedName>
    <definedName name="ufprn20040320141842">#REF!</definedName>
    <definedName name="UFPrn20040325151508" localSheetId="6">#REF!</definedName>
    <definedName name="UFPrn20040325151508" localSheetId="10">#REF!</definedName>
    <definedName name="UFPrn20040325151508" localSheetId="20">#REF!</definedName>
    <definedName name="UFPrn20040325151508" localSheetId="11">#REF!</definedName>
    <definedName name="UFPrn20040325151508">#REF!</definedName>
    <definedName name="UFPrn20040326142915" localSheetId="6">#REF!</definedName>
    <definedName name="UFPrn20040326142915" localSheetId="10">#REF!</definedName>
    <definedName name="UFPrn20040326142915" localSheetId="20">#REF!</definedName>
    <definedName name="UFPrn20040326142915" localSheetId="11">#REF!</definedName>
    <definedName name="UFPrn20040326142915">#REF!</definedName>
    <definedName name="UFPrn20040330100137" localSheetId="11">#REF!</definedName>
    <definedName name="UFPrn20040330100137">#REF!</definedName>
    <definedName name="UFPrn20040330100611" localSheetId="11">#REF!</definedName>
    <definedName name="UFPrn20040330100611">#REF!</definedName>
    <definedName name="UFPrn20040423151738" localSheetId="6">#REF!</definedName>
    <definedName name="UFPrn20040423151738" localSheetId="10">#REF!</definedName>
    <definedName name="UFPrn20040423151738" localSheetId="20">#REF!</definedName>
    <definedName name="UFPrn20040423151738" localSheetId="11">#REF!</definedName>
    <definedName name="UFPrn20040423151738">#REF!</definedName>
    <definedName name="UFPrn20040423151753" localSheetId="6">#REF!</definedName>
    <definedName name="UFPrn20040423151753" localSheetId="10">#REF!</definedName>
    <definedName name="UFPrn20040423151753" localSheetId="20">#REF!</definedName>
    <definedName name="UFPrn20040423151753" localSheetId="11">#REF!</definedName>
    <definedName name="UFPrn20040423151753">#REF!</definedName>
    <definedName name="UFPrn20040423151806" localSheetId="6">#REF!</definedName>
    <definedName name="UFPrn20040423151806" localSheetId="10">#REF!</definedName>
    <definedName name="UFPrn20040423151806" localSheetId="20">#REF!</definedName>
    <definedName name="UFPrn20040423151806" localSheetId="11">#REF!</definedName>
    <definedName name="UFPrn20040423151806">#REF!</definedName>
    <definedName name="ufprn200404231518061" localSheetId="6">#REF!</definedName>
    <definedName name="ufprn200404231518061" localSheetId="10">#REF!</definedName>
    <definedName name="ufprn200404231518061" localSheetId="20">#REF!</definedName>
    <definedName name="ufprn200404231518061" localSheetId="11">#REF!</definedName>
    <definedName name="ufprn200404231518061">#REF!</definedName>
    <definedName name="UFPrn20040423151820" localSheetId="6">#REF!</definedName>
    <definedName name="UFPrn20040423151820" localSheetId="10">#REF!</definedName>
    <definedName name="UFPrn20040423151820" localSheetId="20">#REF!</definedName>
    <definedName name="UFPrn20040423151820" localSheetId="11">#REF!</definedName>
    <definedName name="UFPrn20040423151820">#REF!</definedName>
    <definedName name="ufprn200404231518201" localSheetId="6">#REF!</definedName>
    <definedName name="ufprn200404231518201" localSheetId="10">#REF!</definedName>
    <definedName name="ufprn200404231518201" localSheetId="20">#REF!</definedName>
    <definedName name="ufprn200404231518201" localSheetId="11">#REF!</definedName>
    <definedName name="ufprn200404231518201">#REF!</definedName>
    <definedName name="UFPrn20040423151830" localSheetId="6">#REF!</definedName>
    <definedName name="UFPrn20040423151830" localSheetId="10">#REF!</definedName>
    <definedName name="UFPrn20040423151830" localSheetId="20">#REF!</definedName>
    <definedName name="UFPrn20040423151830" localSheetId="11">#REF!</definedName>
    <definedName name="UFPrn20040423151830">#REF!</definedName>
    <definedName name="ufprn20040423157381" localSheetId="6">#REF!</definedName>
    <definedName name="ufprn20040423157381" localSheetId="10">#REF!</definedName>
    <definedName name="ufprn20040423157381" localSheetId="20">#REF!</definedName>
    <definedName name="ufprn20040423157381" localSheetId="11">#REF!</definedName>
    <definedName name="ufprn20040423157381">#REF!</definedName>
    <definedName name="ufprn20040423518301" localSheetId="6">#REF!</definedName>
    <definedName name="ufprn20040423518301" localSheetId="10">#REF!</definedName>
    <definedName name="ufprn20040423518301" localSheetId="20">#REF!</definedName>
    <definedName name="ufprn20040423518301" localSheetId="11">#REF!</definedName>
    <definedName name="ufprn20040423518301">#REF!</definedName>
    <definedName name="ufprn200404241517531" localSheetId="6">#REF!</definedName>
    <definedName name="ufprn200404241517531" localSheetId="10">#REF!</definedName>
    <definedName name="ufprn200404241517531" localSheetId="20">#REF!</definedName>
    <definedName name="ufprn200404241517531" localSheetId="11">#REF!</definedName>
    <definedName name="ufprn200404241517531">#REF!</definedName>
    <definedName name="UFPrn20040706143521" localSheetId="6">#REF!</definedName>
    <definedName name="UFPrn20040706143521" localSheetId="10">#REF!</definedName>
    <definedName name="UFPrn20040706143521" localSheetId="20">#REF!</definedName>
    <definedName name="UFPrn20040706143521" localSheetId="11">#REF!</definedName>
    <definedName name="UFPrn20040706143521">#REF!</definedName>
    <definedName name="UFPrn20040706143541" localSheetId="6">#REF!</definedName>
    <definedName name="UFPrn20040706143541" localSheetId="10">#REF!</definedName>
    <definedName name="UFPrn20040706143541" localSheetId="20">#REF!</definedName>
    <definedName name="UFPrn20040706143541" localSheetId="11">#REF!</definedName>
    <definedName name="UFPrn20040706143541">#REF!</definedName>
    <definedName name="UFPrn20040706143600" localSheetId="6">#REF!</definedName>
    <definedName name="UFPrn20040706143600" localSheetId="10">#REF!</definedName>
    <definedName name="UFPrn20040706143600" localSheetId="20">#REF!</definedName>
    <definedName name="UFPrn20040706143600" localSheetId="11">#REF!</definedName>
    <definedName name="UFPrn20040706143600">#REF!</definedName>
    <definedName name="UFPrn20040706143614" localSheetId="6">#REF!</definedName>
    <definedName name="UFPrn20040706143614" localSheetId="10">#REF!</definedName>
    <definedName name="UFPrn20040706143614" localSheetId="20">#REF!</definedName>
    <definedName name="UFPrn20040706143614" localSheetId="11">#REF!</definedName>
    <definedName name="UFPrn20040706143614">#REF!</definedName>
    <definedName name="UFPrn20040706143628" localSheetId="6">#REF!</definedName>
    <definedName name="UFPrn20040706143628" localSheetId="10">#REF!</definedName>
    <definedName name="UFPrn20040706143628" localSheetId="20">#REF!</definedName>
    <definedName name="UFPrn20040706143628" localSheetId="11">#REF!</definedName>
    <definedName name="UFPrn20040706143628">#REF!</definedName>
    <definedName name="UFPrn20040706143640" localSheetId="6">#REF!</definedName>
    <definedName name="UFPrn20040706143640" localSheetId="10">#REF!</definedName>
    <definedName name="UFPrn20040706143640" localSheetId="20">#REF!</definedName>
    <definedName name="UFPrn20040706143640" localSheetId="11">#REF!</definedName>
    <definedName name="UFPrn20040706143640">#REF!</definedName>
    <definedName name="ufprn2005" localSheetId="6">#REF!</definedName>
    <definedName name="ufprn2005" localSheetId="10">#REF!</definedName>
    <definedName name="ufprn2005" localSheetId="20">#REF!</definedName>
    <definedName name="ufprn2005" localSheetId="11">#REF!</definedName>
    <definedName name="ufprn2005">#REF!</definedName>
    <definedName name="UFPrn20050308112411" localSheetId="6">#REF!</definedName>
    <definedName name="UFPrn20050308112411" localSheetId="10">#REF!</definedName>
    <definedName name="UFPrn20050308112411" localSheetId="20">#REF!</definedName>
    <definedName name="UFPrn20050308112411" localSheetId="11">#REF!</definedName>
    <definedName name="UFPrn20050308112411">#REF!</definedName>
    <definedName name="UFPrn20050308112547" localSheetId="6">#REF!</definedName>
    <definedName name="UFPrn20050308112547" localSheetId="10">#REF!</definedName>
    <definedName name="UFPrn20050308112547" localSheetId="20">#REF!</definedName>
    <definedName name="UFPrn20050308112547" localSheetId="11">#REF!</definedName>
    <definedName name="UFPrn20050308112547">#REF!</definedName>
    <definedName name="ufprn2006" localSheetId="6">#REF!</definedName>
    <definedName name="ufprn2006" localSheetId="10">#REF!</definedName>
    <definedName name="ufprn2006" localSheetId="20">#REF!</definedName>
    <definedName name="ufprn2006" localSheetId="11">#REF!</definedName>
    <definedName name="ufprn2006">#REF!</definedName>
    <definedName name="UFPrn20060602161710" localSheetId="6">#REF!</definedName>
    <definedName name="UFPrn20060602161710" localSheetId="10">#REF!</definedName>
    <definedName name="UFPrn20060602161710" localSheetId="20">#REF!</definedName>
    <definedName name="UFPrn20060602161710" localSheetId="11">#REF!</definedName>
    <definedName name="UFPrn20060602161710">#REF!</definedName>
    <definedName name="UFPrn20060606104933" localSheetId="6">#REF!</definedName>
    <definedName name="UFPrn20060606104933" localSheetId="10">#REF!</definedName>
    <definedName name="UFPrn20060606104933" localSheetId="20">#REF!</definedName>
    <definedName name="UFPrn20060606104933" localSheetId="11">#REF!</definedName>
    <definedName name="UFPrn20060606104933">#REF!</definedName>
    <definedName name="UFPrn20060705125724" localSheetId="6">#REF!</definedName>
    <definedName name="UFPrn20060705125724" localSheetId="10">#REF!</definedName>
    <definedName name="UFPrn20060705125724" localSheetId="20">#REF!</definedName>
    <definedName name="UFPrn20060705125724" localSheetId="11">#REF!</definedName>
    <definedName name="UFPrn20060705125724">#REF!</definedName>
    <definedName name="ufprn2007" localSheetId="6">#REF!</definedName>
    <definedName name="ufprn2007" localSheetId="10">#REF!</definedName>
    <definedName name="ufprn2007" localSheetId="20">#REF!</definedName>
    <definedName name="ufprn2007" localSheetId="11">#REF!</definedName>
    <definedName name="ufprn2007">#REF!</definedName>
    <definedName name="UFPrn20070517135708" localSheetId="20">#REF!</definedName>
    <definedName name="UFPrn20070517135708">#REF!</definedName>
    <definedName name="UFPrn20070828125918" localSheetId="6">#REF!</definedName>
    <definedName name="UFPrn20070828125918" localSheetId="10">#REF!</definedName>
    <definedName name="UFPrn20070828125918" localSheetId="20">#REF!</definedName>
    <definedName name="UFPrn20070828125918" localSheetId="11">#REF!</definedName>
    <definedName name="UFPrn20070828125918">#REF!</definedName>
    <definedName name="UFPrn20070828192830" localSheetId="6">#REF!</definedName>
    <definedName name="UFPrn20070828192830" localSheetId="10">#REF!</definedName>
    <definedName name="UFPrn20070828192830" localSheetId="20">#REF!</definedName>
    <definedName name="UFPrn20070828192830" localSheetId="11">#REF!</definedName>
    <definedName name="UFPrn20070828192830">#REF!</definedName>
    <definedName name="UFPrn20070901194647" localSheetId="6">#REF!</definedName>
    <definedName name="UFPrn20070901194647" localSheetId="10">#REF!</definedName>
    <definedName name="UFPrn20070901194647" localSheetId="20">#REF!</definedName>
    <definedName name="UFPrn20070901194647" localSheetId="11">#REF!</definedName>
    <definedName name="UFPrn20070901194647">#REF!</definedName>
    <definedName name="ufprn2008" localSheetId="6">#REF!</definedName>
    <definedName name="ufprn2008" localSheetId="10">#REF!</definedName>
    <definedName name="ufprn2008" localSheetId="20">#REF!</definedName>
    <definedName name="ufprn2008" localSheetId="11">#REF!</definedName>
    <definedName name="ufprn2008">#REF!</definedName>
    <definedName name="UFPrn20080110184346" localSheetId="6">#REF!</definedName>
    <definedName name="UFPrn20080110184346" localSheetId="10">#REF!</definedName>
    <definedName name="UFPrn20080110184346" localSheetId="20">#REF!</definedName>
    <definedName name="UFPrn20080110184346" localSheetId="11">#REF!</definedName>
    <definedName name="UFPrn20080110184346">#REF!</definedName>
    <definedName name="UFPrn20080110184629" localSheetId="6">#REF!</definedName>
    <definedName name="UFPrn20080110184629" localSheetId="10">#REF!</definedName>
    <definedName name="UFPrn20080110184629" localSheetId="20">#REF!</definedName>
    <definedName name="UFPrn20080110184629" localSheetId="11">#REF!</definedName>
    <definedName name="UFPrn20080110184629">#REF!</definedName>
    <definedName name="ufprn2009" localSheetId="6">#REF!</definedName>
    <definedName name="ufprn2009" localSheetId="10">#REF!</definedName>
    <definedName name="ufprn2009" localSheetId="20">#REF!</definedName>
    <definedName name="ufprn2009" localSheetId="11">#REF!</definedName>
    <definedName name="ufprn2009">#REF!</definedName>
    <definedName name="UFPrn20091114105827" localSheetId="6">#REF!</definedName>
    <definedName name="UFPrn20091114105827" localSheetId="10">#REF!</definedName>
    <definedName name="UFPrn20091114105827" localSheetId="20">#REF!</definedName>
    <definedName name="UFPrn20091114105827" localSheetId="11">#REF!</definedName>
    <definedName name="UFPrn20091114105827">#REF!</definedName>
    <definedName name="UFPrn20091114110330" localSheetId="6">#REF!</definedName>
    <definedName name="UFPrn20091114110330" localSheetId="10">#REF!</definedName>
    <definedName name="UFPrn20091114110330" localSheetId="20">#REF!</definedName>
    <definedName name="UFPrn20091114110330" localSheetId="11">#REF!</definedName>
    <definedName name="UFPrn20091114110330">#REF!</definedName>
    <definedName name="UFPrn20091114111945" localSheetId="6">#REF!</definedName>
    <definedName name="UFPrn20091114111945" localSheetId="10">#REF!</definedName>
    <definedName name="UFPrn20091114111945" localSheetId="20">#REF!</definedName>
    <definedName name="UFPrn20091114111945" localSheetId="11">#REF!</definedName>
    <definedName name="UFPrn20091114111945">#REF!</definedName>
    <definedName name="UFPrn20091207135816" localSheetId="6">#REF!</definedName>
    <definedName name="UFPrn20091207135816" localSheetId="10">#REF!</definedName>
    <definedName name="UFPrn20091207135816" localSheetId="20">#REF!</definedName>
    <definedName name="UFPrn20091207135816" localSheetId="11">#REF!</definedName>
    <definedName name="UFPrn20091207135816">#REF!</definedName>
    <definedName name="ufprn21" localSheetId="6">#REF!</definedName>
    <definedName name="ufprn21" localSheetId="10">#REF!</definedName>
    <definedName name="ufprn21" localSheetId="20">#REF!</definedName>
    <definedName name="ufprn21" localSheetId="11">#REF!</definedName>
    <definedName name="ufprn21">#REF!</definedName>
    <definedName name="ufprn22" localSheetId="6">#REF!</definedName>
    <definedName name="ufprn22" localSheetId="10">#REF!</definedName>
    <definedName name="ufprn22" localSheetId="20">#REF!</definedName>
    <definedName name="ufprn22" localSheetId="11">#REF!</definedName>
    <definedName name="ufprn22">#REF!</definedName>
    <definedName name="ufprn23" localSheetId="6">#REF!</definedName>
    <definedName name="ufprn23" localSheetId="10">#REF!</definedName>
    <definedName name="ufprn23" localSheetId="20">#REF!</definedName>
    <definedName name="ufprn23" localSheetId="11">#REF!</definedName>
    <definedName name="ufprn23">#REF!</definedName>
    <definedName name="ufprn24" localSheetId="6">#REF!</definedName>
    <definedName name="ufprn24" localSheetId="10">#REF!</definedName>
    <definedName name="ufprn24" localSheetId="20">#REF!</definedName>
    <definedName name="ufprn24" localSheetId="11">#REF!</definedName>
    <definedName name="ufprn24">#REF!</definedName>
    <definedName name="ufprn26" localSheetId="6">#REF!</definedName>
    <definedName name="ufprn26" localSheetId="10">#REF!</definedName>
    <definedName name="ufprn26" localSheetId="20">#REF!</definedName>
    <definedName name="ufprn26" localSheetId="11">#REF!</definedName>
    <definedName name="ufprn26">#REF!</definedName>
    <definedName name="ufprn27" localSheetId="6">#REF!</definedName>
    <definedName name="ufprn27" localSheetId="10">#REF!</definedName>
    <definedName name="ufprn27" localSheetId="20">#REF!</definedName>
    <definedName name="ufprn27" localSheetId="11">#REF!</definedName>
    <definedName name="ufprn27">#REF!</definedName>
    <definedName name="ufprn28" localSheetId="6">#REF!</definedName>
    <definedName name="ufprn28" localSheetId="10">#REF!</definedName>
    <definedName name="ufprn28" localSheetId="20">#REF!</definedName>
    <definedName name="ufprn28" localSheetId="11">#REF!</definedName>
    <definedName name="ufprn28">#REF!</definedName>
    <definedName name="ufprn29" localSheetId="6">#REF!</definedName>
    <definedName name="ufprn29" localSheetId="10">#REF!</definedName>
    <definedName name="ufprn29" localSheetId="20">#REF!</definedName>
    <definedName name="ufprn29" localSheetId="11">#REF!</definedName>
    <definedName name="ufprn29">#REF!</definedName>
    <definedName name="ufprn3" localSheetId="6">#REF!</definedName>
    <definedName name="ufprn3" localSheetId="10">#REF!</definedName>
    <definedName name="ufprn3" localSheetId="20">#REF!</definedName>
    <definedName name="ufprn3" localSheetId="11">#REF!</definedName>
    <definedName name="ufprn3">#REF!</definedName>
    <definedName name="ufprn30" localSheetId="6">#REF!</definedName>
    <definedName name="ufprn30" localSheetId="10">#REF!</definedName>
    <definedName name="ufprn30" localSheetId="20">#REF!</definedName>
    <definedName name="ufprn30" localSheetId="11">#REF!</definedName>
    <definedName name="ufprn30">#REF!</definedName>
    <definedName name="ufprn31" localSheetId="6">#REF!</definedName>
    <definedName name="ufprn31" localSheetId="10">#REF!</definedName>
    <definedName name="ufprn31" localSheetId="20">#REF!</definedName>
    <definedName name="ufprn31" localSheetId="11">#REF!</definedName>
    <definedName name="ufprn31">#REF!</definedName>
    <definedName name="ufprn32" localSheetId="6">#REF!</definedName>
    <definedName name="ufprn32" localSheetId="10">#REF!</definedName>
    <definedName name="ufprn32" localSheetId="20">#REF!</definedName>
    <definedName name="ufprn32" localSheetId="11">#REF!</definedName>
    <definedName name="ufprn32">#REF!</definedName>
    <definedName name="ufprn33" localSheetId="6">#REF!</definedName>
    <definedName name="ufprn33" localSheetId="10">#REF!</definedName>
    <definedName name="ufprn33" localSheetId="20">#REF!</definedName>
    <definedName name="ufprn33" localSheetId="11">#REF!</definedName>
    <definedName name="ufprn33">#REF!</definedName>
    <definedName name="ufprn34" localSheetId="6">#REF!</definedName>
    <definedName name="ufprn34" localSheetId="10">#REF!</definedName>
    <definedName name="ufprn34" localSheetId="20">#REF!</definedName>
    <definedName name="ufprn34" localSheetId="11">#REF!</definedName>
    <definedName name="ufprn34">#REF!</definedName>
    <definedName name="ufprn35" localSheetId="6">#REF!</definedName>
    <definedName name="ufprn35" localSheetId="10">#REF!</definedName>
    <definedName name="ufprn35" localSheetId="20">#REF!</definedName>
    <definedName name="ufprn35" localSheetId="11">#REF!</definedName>
    <definedName name="ufprn35">#REF!</definedName>
    <definedName name="ufprn4" localSheetId="6">#REF!</definedName>
    <definedName name="ufprn4" localSheetId="10">#REF!</definedName>
    <definedName name="ufprn4" localSheetId="20">#REF!</definedName>
    <definedName name="ufprn4" localSheetId="11">#REF!</definedName>
    <definedName name="ufprn4">#REF!</definedName>
    <definedName name="ufprn5" localSheetId="6">#REF!</definedName>
    <definedName name="ufprn5" localSheetId="10">#REF!</definedName>
    <definedName name="ufprn5" localSheetId="20">#REF!</definedName>
    <definedName name="ufprn5" localSheetId="11">#REF!</definedName>
    <definedName name="ufprn5">#REF!</definedName>
    <definedName name="ufprn6" localSheetId="6">#REF!</definedName>
    <definedName name="ufprn6" localSheetId="10">#REF!</definedName>
    <definedName name="ufprn6" localSheetId="20">#REF!</definedName>
    <definedName name="ufprn6" localSheetId="11">#REF!</definedName>
    <definedName name="ufprn6">#REF!</definedName>
    <definedName name="ufprn7" localSheetId="6">#REF!</definedName>
    <definedName name="ufprn7" localSheetId="10">#REF!</definedName>
    <definedName name="ufprn7" localSheetId="20">#REF!</definedName>
    <definedName name="ufprn7" localSheetId="11">#REF!</definedName>
    <definedName name="ufprn7">#REF!</definedName>
    <definedName name="ufprn8" localSheetId="6">#REF!</definedName>
    <definedName name="ufprn8" localSheetId="10">#REF!</definedName>
    <definedName name="ufprn8" localSheetId="20">#REF!</definedName>
    <definedName name="ufprn8" localSheetId="11">#REF!</definedName>
    <definedName name="ufprn8">#REF!</definedName>
    <definedName name="ufprn9" localSheetId="6">#REF!</definedName>
    <definedName name="ufprn9" localSheetId="10">#REF!</definedName>
    <definedName name="ufprn9" localSheetId="20">#REF!</definedName>
    <definedName name="ufprn9" localSheetId="11">#REF!</definedName>
    <definedName name="ufprn9">#REF!</definedName>
    <definedName name="ValidityCode" localSheetId="6">#REF!</definedName>
    <definedName name="ValidityCode" localSheetId="10">#REF!</definedName>
    <definedName name="ValidityCode" localSheetId="20">#REF!</definedName>
    <definedName name="ValidityCode" localSheetId="11">#REF!</definedName>
    <definedName name="ValidityCode">#REF!</definedName>
    <definedName name="vv" localSheetId="6">#REF!</definedName>
    <definedName name="vv" localSheetId="10">#REF!</definedName>
    <definedName name="vv" localSheetId="20">#REF!</definedName>
    <definedName name="vv" localSheetId="11">#REF!</definedName>
    <definedName name="vv">#REF!</definedName>
    <definedName name="v发的" localSheetId="6">#REF!</definedName>
    <definedName name="v发的" localSheetId="10">#REF!</definedName>
    <definedName name="v发的" localSheetId="20">#REF!</definedName>
    <definedName name="v发的" localSheetId="11">#REF!</definedName>
    <definedName name="v发的">#REF!</definedName>
    <definedName name="we" localSheetId="6">#REF!</definedName>
    <definedName name="we" localSheetId="10">#REF!</definedName>
    <definedName name="we" localSheetId="20">#REF!</definedName>
    <definedName name="we" localSheetId="11">#REF!</definedName>
    <definedName name="we">#REF!</definedName>
    <definedName name="wewe" localSheetId="6">#REF!</definedName>
    <definedName name="wewe" localSheetId="10">#REF!</definedName>
    <definedName name="wewe" localSheetId="20">#REF!</definedName>
    <definedName name="wewe" localSheetId="11">#REF!</definedName>
    <definedName name="wewe">#REF!</definedName>
    <definedName name="wewew" localSheetId="6">#REF!</definedName>
    <definedName name="wewew" localSheetId="10">#REF!</definedName>
    <definedName name="wewew" localSheetId="20">#REF!</definedName>
    <definedName name="wewew" localSheetId="11">#REF!</definedName>
    <definedName name="wewew">#REF!</definedName>
    <definedName name="WI" localSheetId="6">#REF!</definedName>
    <definedName name="WI" localSheetId="10">#REF!</definedName>
    <definedName name="WI" localSheetId="20">#REF!</definedName>
    <definedName name="WI" localSheetId="11">#REF!</definedName>
    <definedName name="WI">#REF!</definedName>
    <definedName name="wrn.Aging._.and._.Trend._.Analysis." hidden="1">{#N/A,#N/A,FALSE,"Aging Summary";#N/A,#N/A,FALSE,"Ratio Analysis";#N/A,#N/A,FALSE,"Test 120 Day Accts";#N/A,#N/A,FALSE,"Tickmarks"}</definedName>
    <definedName name="wrn.gb." hidden="1">{#N/A,#N/A,FALSE,"资产负债表";#N/A,#N/A,FALSE,"资产负债表"}</definedName>
    <definedName name="ww" localSheetId="20">#REF!</definedName>
    <definedName name="ww" localSheetId="11">#REF!</definedName>
    <definedName name="ww">#REF!</definedName>
    <definedName name="x" localSheetId="6">#REF!</definedName>
    <definedName name="x" localSheetId="10">#REF!</definedName>
    <definedName name="x" localSheetId="20">#REF!</definedName>
    <definedName name="x" localSheetId="11">#REF!</definedName>
    <definedName name="x">#REF!</definedName>
    <definedName name="xc" localSheetId="6">#REF!</definedName>
    <definedName name="xc" localSheetId="10">#REF!</definedName>
    <definedName name="xc" localSheetId="20">#REF!</definedName>
    <definedName name="xc" localSheetId="11">#REF!</definedName>
    <definedName name="xc">#REF!</definedName>
    <definedName name="xin" localSheetId="6">#REF!</definedName>
    <definedName name="xin" localSheetId="10">#REF!</definedName>
    <definedName name="xin" localSheetId="20">#REF!</definedName>
    <definedName name="xin" localSheetId="11">#REF!</definedName>
    <definedName name="xin">#REF!</definedName>
    <definedName name="xin1" localSheetId="6">#REF!</definedName>
    <definedName name="xin1" localSheetId="10">#REF!</definedName>
    <definedName name="xin1" localSheetId="20">#REF!</definedName>
    <definedName name="xin1" localSheetId="11">#REF!</definedName>
    <definedName name="xin1">#REF!</definedName>
    <definedName name="xin2" localSheetId="6">#REF!</definedName>
    <definedName name="xin2" localSheetId="10">#REF!</definedName>
    <definedName name="xin2" localSheetId="20">#REF!</definedName>
    <definedName name="xin2" localSheetId="11">#REF!</definedName>
    <definedName name="xin2">#REF!</definedName>
    <definedName name="xinxin" localSheetId="6">#REF!</definedName>
    <definedName name="xinxin" localSheetId="10">#REF!</definedName>
    <definedName name="xinxin" localSheetId="20">#REF!</definedName>
    <definedName name="xinxin" localSheetId="11">#REF!</definedName>
    <definedName name="xinxin">#REF!</definedName>
    <definedName name="xishu" localSheetId="20">#REF!</definedName>
    <definedName name="xishu" localSheetId="11">#REF!</definedName>
    <definedName name="xishu">#REF!</definedName>
    <definedName name="XREF_COLUMN_2" localSheetId="6" hidden="1">#REF!</definedName>
    <definedName name="XREF_COLUMN_2" localSheetId="10" hidden="1">#REF!</definedName>
    <definedName name="XREF_COLUMN_2" localSheetId="20" hidden="1">#REF!</definedName>
    <definedName name="XREF_COLUMN_2" localSheetId="11" hidden="1">#REF!</definedName>
    <definedName name="XREF_COLUMN_2" hidden="1">#REF!</definedName>
    <definedName name="XRefActiveRow" localSheetId="6" hidden="1">#REF!</definedName>
    <definedName name="XRefActiveRow" localSheetId="10" hidden="1">#REF!</definedName>
    <definedName name="XRefActiveRow" localSheetId="20" hidden="1">#REF!</definedName>
    <definedName name="XRefActiveRow" localSheetId="11" hidden="1">#REF!</definedName>
    <definedName name="XRefActiveRow" hidden="1">#REF!</definedName>
    <definedName name="XRefColumnsCount" hidden="1">1</definedName>
    <definedName name="XRefCopy1Row" localSheetId="6" hidden="1">#REF!</definedName>
    <definedName name="XRefCopy1Row" localSheetId="10" hidden="1">#REF!</definedName>
    <definedName name="XRefCopy1Row" localSheetId="20" hidden="1">#REF!</definedName>
    <definedName name="XRefCopy1Row" localSheetId="11" hidden="1">#REF!</definedName>
    <definedName name="XRefCopy1Row" hidden="1">#REF!</definedName>
    <definedName name="XRefCopyRangeCount" hidden="1">1</definedName>
    <definedName name="XRefPaste1" localSheetId="6" hidden="1">#REF!</definedName>
    <definedName name="XRefPaste1" localSheetId="10" hidden="1">#REF!</definedName>
    <definedName name="XRefPaste1" localSheetId="20" hidden="1">#REF!</definedName>
    <definedName name="XRefPaste1" localSheetId="11" hidden="1">#REF!</definedName>
    <definedName name="XRefPaste1" hidden="1">#REF!</definedName>
    <definedName name="XRefPaste1Row" localSheetId="6" hidden="1">#REF!</definedName>
    <definedName name="XRefPaste1Row" localSheetId="10" hidden="1">#REF!</definedName>
    <definedName name="XRefPaste1Row" localSheetId="20" hidden="1">#REF!</definedName>
    <definedName name="XRefPaste1Row" localSheetId="11" hidden="1">#REF!</definedName>
    <definedName name="XRefPaste1Row" hidden="1">#REF!</definedName>
    <definedName name="XRefPasteRangeCount" hidden="1">1</definedName>
    <definedName name="XSL" localSheetId="6">#REF!</definedName>
    <definedName name="XSL" localSheetId="10">#REF!</definedName>
    <definedName name="XSL" localSheetId="20">#REF!</definedName>
    <definedName name="XSL" localSheetId="11">#REF!</definedName>
    <definedName name="XSL">#REF!</definedName>
    <definedName name="xxjj11" localSheetId="6">#REF!</definedName>
    <definedName name="xxjj11" localSheetId="10">#REF!</definedName>
    <definedName name="xxjj11" localSheetId="20">#REF!</definedName>
    <definedName name="xxjj11" localSheetId="11">#REF!</definedName>
    <definedName name="xxjj11">#REF!</definedName>
    <definedName name="xxjj19" localSheetId="6">#REF!</definedName>
    <definedName name="xxjj19" localSheetId="10">#REF!</definedName>
    <definedName name="xxjj19" localSheetId="20">#REF!</definedName>
    <definedName name="xxjj19" localSheetId="11">#REF!</definedName>
    <definedName name="xxjj19">#REF!</definedName>
    <definedName name="xxjj27" localSheetId="6">#REF!</definedName>
    <definedName name="xxjj27" localSheetId="10">#REF!</definedName>
    <definedName name="xxjj27" localSheetId="20">#REF!</definedName>
    <definedName name="xxjj27" localSheetId="11">#REF!</definedName>
    <definedName name="xxjj27">#REF!</definedName>
    <definedName name="xxjj32" localSheetId="6">#REF!</definedName>
    <definedName name="xxjj32" localSheetId="10">#REF!</definedName>
    <definedName name="xxjj32" localSheetId="20">#REF!</definedName>
    <definedName name="xxjj32" localSheetId="11">#REF!</definedName>
    <definedName name="xxjj32">#REF!</definedName>
    <definedName name="xxjj36" localSheetId="6">#REF!</definedName>
    <definedName name="xxjj36" localSheetId="10">#REF!</definedName>
    <definedName name="xxjj36" localSheetId="20">#REF!</definedName>
    <definedName name="xxjj36" localSheetId="11">#REF!</definedName>
    <definedName name="xxjj36">#REF!</definedName>
    <definedName name="xxjj40" localSheetId="6">#REF!</definedName>
    <definedName name="xxjj40" localSheetId="10">#REF!</definedName>
    <definedName name="xxjj40" localSheetId="20">#REF!</definedName>
    <definedName name="xxjj40" localSheetId="11">#REF!</definedName>
    <definedName name="xxjj40">#REF!</definedName>
    <definedName name="xxjj44" localSheetId="6">#REF!</definedName>
    <definedName name="xxjj44" localSheetId="10">#REF!</definedName>
    <definedName name="xxjj44" localSheetId="20">#REF!</definedName>
    <definedName name="xxjj44" localSheetId="11">#REF!</definedName>
    <definedName name="xxjj44">#REF!</definedName>
    <definedName name="xxjj48" localSheetId="6">#REF!</definedName>
    <definedName name="xxjj48" localSheetId="10">#REF!</definedName>
    <definedName name="xxjj48" localSheetId="20">#REF!</definedName>
    <definedName name="xxjj48" localSheetId="11">#REF!</definedName>
    <definedName name="xxjj48">#REF!</definedName>
    <definedName name="xxjj50" localSheetId="6">#REF!</definedName>
    <definedName name="xxjj50" localSheetId="10">#REF!</definedName>
    <definedName name="xxjj50" localSheetId="20">#REF!</definedName>
    <definedName name="xxjj50" localSheetId="11">#REF!</definedName>
    <definedName name="xxjj50">#REF!</definedName>
    <definedName name="xxjj80" localSheetId="6">#REF!</definedName>
    <definedName name="xxjj80" localSheetId="10">#REF!</definedName>
    <definedName name="xxjj80" localSheetId="20">#REF!</definedName>
    <definedName name="xxjj80" localSheetId="11">#REF!</definedName>
    <definedName name="xxjj80">#REF!</definedName>
    <definedName name="xxjj81" localSheetId="6">#REF!</definedName>
    <definedName name="xxjj81" localSheetId="10">#REF!</definedName>
    <definedName name="xxjj81" localSheetId="20">#REF!</definedName>
    <definedName name="xxjj81" localSheetId="11">#REF!</definedName>
    <definedName name="xxjj81">#REF!</definedName>
    <definedName name="xxjj82" localSheetId="6">#REF!</definedName>
    <definedName name="xxjj82" localSheetId="10">#REF!</definedName>
    <definedName name="xxjj82" localSheetId="20">#REF!</definedName>
    <definedName name="xxjj82" localSheetId="11">#REF!</definedName>
    <definedName name="xxjj82">#REF!</definedName>
    <definedName name="xxjj83" localSheetId="6">#REF!</definedName>
    <definedName name="xxjj83" localSheetId="10">#REF!</definedName>
    <definedName name="xxjj83" localSheetId="20">#REF!</definedName>
    <definedName name="xxjj83" localSheetId="11">#REF!</definedName>
    <definedName name="xxjj83">#REF!</definedName>
    <definedName name="yd">#REF!</definedName>
    <definedName name="yinhanglixi">#REF!</definedName>
    <definedName name="yy" localSheetId="20">#REF!</definedName>
    <definedName name="yy" localSheetId="11">#REF!</definedName>
    <definedName name="yy">#REF!</definedName>
    <definedName name="z" localSheetId="20">#REF!</definedName>
    <definedName name="z" localSheetId="11">#REF!</definedName>
    <definedName name="z">#REF!</definedName>
    <definedName name="Z导出列表" localSheetId="11">OFFSET(#REF!,0,0,COUNTA(#REF!)-COUNTIF(#REF!,0)-1,1)</definedName>
    <definedName name="Z导出列表">OFFSET(#REF!,0,0,COUNTA(#REF!)-COUNTIF(#REF!,0)-1,1)</definedName>
    <definedName name="阿" hidden="1">{#N/A,#N/A,FALSE,"Aging Summary";#N/A,#N/A,FALSE,"Ratio Analysis";#N/A,#N/A,FALSE,"Test 120 Day Accts";#N/A,#N/A,FALSE,"Tickmarks"}</definedName>
    <definedName name="阿道夫死德国发动过球" localSheetId="6">#REF!</definedName>
    <definedName name="阿道夫死德国发动过球" localSheetId="10">#REF!</definedName>
    <definedName name="阿道夫死德国发动过球" localSheetId="20">#REF!</definedName>
    <definedName name="阿道夫死德国发动过球" localSheetId="11">#REF!</definedName>
    <definedName name="阿道夫死德国发动过球">#REF!</definedName>
    <definedName name="阿瑟" localSheetId="11">#REF!</definedName>
    <definedName name="阿瑟">#REF!</definedName>
    <definedName name="啊啊" localSheetId="6">#REF!</definedName>
    <definedName name="啊啊" localSheetId="10">#REF!</definedName>
    <definedName name="啊啊" localSheetId="20">#REF!</definedName>
    <definedName name="啊啊" localSheetId="11">#REF!</definedName>
    <definedName name="啊啊">#REF!</definedName>
    <definedName name="爱爱爱" hidden="1">{#N/A,#N/A,FALSE,"Aging Summary";#N/A,#N/A,FALSE,"Ratio Analysis";#N/A,#N/A,FALSE,"Test 120 Day Accts";#N/A,#N/A,FALSE,"Tickmarks"}</definedName>
    <definedName name="板式住宅" localSheetId="11">#REF!</definedName>
    <definedName name="板式住宅">#REF!</definedName>
    <definedName name="版本" localSheetId="20">#REF!</definedName>
    <definedName name="版本" localSheetId="11">#REF!</definedName>
    <definedName name="版本">#REF!</definedName>
    <definedName name="办公费" localSheetId="6">#REF!</definedName>
    <definedName name="办公费" localSheetId="10">#REF!</definedName>
    <definedName name="办公费" localSheetId="20">#REF!</definedName>
    <definedName name="办公费" localSheetId="11">#REF!</definedName>
    <definedName name="办公费">#REF!</definedName>
    <definedName name="办公区费用" localSheetId="6">#REF!</definedName>
    <definedName name="办公区费用" localSheetId="10">#REF!</definedName>
    <definedName name="办公区费用" localSheetId="20">#REF!</definedName>
    <definedName name="办公区费用" localSheetId="11">#REF!</definedName>
    <definedName name="办公区费用">#REF!</definedName>
    <definedName name="报表" localSheetId="6">#REF!</definedName>
    <definedName name="报表" localSheetId="10">#REF!</definedName>
    <definedName name="报表" localSheetId="20">#REF!</definedName>
    <definedName name="报表" localSheetId="11">#REF!</definedName>
    <definedName name="报表">#REF!</definedName>
    <definedName name="北船" localSheetId="11">#REF!</definedName>
    <definedName name="北船">#REF!</definedName>
    <definedName name="备查类" localSheetId="6">#REF!</definedName>
    <definedName name="备查类" localSheetId="10">#REF!</definedName>
    <definedName name="备查类" localSheetId="20">#REF!</definedName>
    <definedName name="备查类" localSheetId="11">#REF!</definedName>
    <definedName name="备查类">#REF!</definedName>
    <definedName name="本月月份" localSheetId="11">#REF!</definedName>
    <definedName name="本月月份">#REF!</definedName>
    <definedName name="比例" localSheetId="6">#REF!</definedName>
    <definedName name="比例" localSheetId="10">#REF!</definedName>
    <definedName name="比例" localSheetId="20">#REF!</definedName>
    <definedName name="比例" localSheetId="11">#REF!</definedName>
    <definedName name="比例">#REF!</definedName>
    <definedName name="编制单位" localSheetId="11">#REF!</definedName>
    <definedName name="编制单位">#REF!</definedName>
    <definedName name="表格" localSheetId="6" hidden="1">#REF!</definedName>
    <definedName name="表格" localSheetId="10" hidden="1">#REF!</definedName>
    <definedName name="表格" localSheetId="20" hidden="1">#REF!</definedName>
    <definedName name="表格" localSheetId="11" hidden="1">#REF!</definedName>
    <definedName name="表格" hidden="1">#REF!</definedName>
    <definedName name="滨江路写字楼" localSheetId="11">#REF!</definedName>
    <definedName name="滨江路写字楼">#REF!</definedName>
    <definedName name="擦" localSheetId="6">#REF!</definedName>
    <definedName name="擦" localSheetId="10">#REF!</definedName>
    <definedName name="擦" localSheetId="20">#REF!</definedName>
    <definedName name="擦" localSheetId="11">#REF!</definedName>
    <definedName name="擦">#REF!</definedName>
    <definedName name="财务费用表.dbf" localSheetId="6">#REF!</definedName>
    <definedName name="财务费用表.dbf" localSheetId="10">#REF!</definedName>
    <definedName name="财务费用表.dbf" localSheetId="20">#REF!</definedName>
    <definedName name="财务费用表.dbf" localSheetId="11">#REF!</definedName>
    <definedName name="财务费用表.dbf">#REF!</definedName>
    <definedName name="财务费用表3.dbf" localSheetId="6">#REF!</definedName>
    <definedName name="财务费用表3.dbf" localSheetId="10">#REF!</definedName>
    <definedName name="财务费用表3.dbf" localSheetId="20">#REF!</definedName>
    <definedName name="财务费用表3.dbf" localSheetId="11">#REF!</definedName>
    <definedName name="财务费用表3.dbf">#REF!</definedName>
    <definedName name="财务费用利息收入" localSheetId="6">#REF!</definedName>
    <definedName name="财务费用利息收入" localSheetId="10">#REF!</definedName>
    <definedName name="财务费用利息收入" localSheetId="20">#REF!</definedName>
    <definedName name="财务费用利息收入" localSheetId="11">#REF!</definedName>
    <definedName name="财务费用利息收入">#REF!</definedName>
    <definedName name="财务费用明细表.dbf" localSheetId="6">#REF!</definedName>
    <definedName name="财务费用明细表.dbf" localSheetId="10">#REF!</definedName>
    <definedName name="财务费用明细表.dbf" localSheetId="20">#REF!</definedName>
    <definedName name="财务费用明细表.dbf" localSheetId="11">#REF!</definedName>
    <definedName name="财务费用明细表.dbf">#REF!</definedName>
    <definedName name="财务费用明细表2" localSheetId="6">#REF!</definedName>
    <definedName name="财务费用明细表2" localSheetId="10">#REF!</definedName>
    <definedName name="财务费用明细表2" localSheetId="20">#REF!</definedName>
    <definedName name="财务费用明细表2" localSheetId="11">#REF!</definedName>
    <definedName name="财务费用明细表2">#REF!</definedName>
    <definedName name="财务费用明细表3.dbf" localSheetId="6">#REF!</definedName>
    <definedName name="财务费用明细表3.dbf" localSheetId="10">#REF!</definedName>
    <definedName name="财务费用明细表3.dbf" localSheetId="20">#REF!</definedName>
    <definedName name="财务费用明细表3.dbf" localSheetId="11">#REF!</definedName>
    <definedName name="财务费用明细表3.dbf">#REF!</definedName>
    <definedName name="财务费用明细表4" localSheetId="6">#REF!</definedName>
    <definedName name="财务费用明细表4" localSheetId="10">#REF!</definedName>
    <definedName name="财务费用明细表4" localSheetId="20">#REF!</definedName>
    <definedName name="财务费用明细表4" localSheetId="11">#REF!</definedName>
    <definedName name="财务费用明细表4">#REF!</definedName>
    <definedName name="财务费用手续费" localSheetId="6">#REF!</definedName>
    <definedName name="财务费用手续费" localSheetId="10">#REF!</definedName>
    <definedName name="财务费用手续费" localSheetId="20">#REF!</definedName>
    <definedName name="财务费用手续费" localSheetId="11">#REF!</definedName>
    <definedName name="财务费用手续费">#REF!</definedName>
    <definedName name="财务明细表.dbf" localSheetId="6">#REF!</definedName>
    <definedName name="财务明细表.dbf" localSheetId="10">#REF!</definedName>
    <definedName name="财务明细表.dbf" localSheetId="20">#REF!</definedName>
    <definedName name="财务明细表.dbf" localSheetId="11">#REF!</definedName>
    <definedName name="财务明细表.dbf">#REF!</definedName>
    <definedName name="差旅费补助" localSheetId="6">#REF!</definedName>
    <definedName name="差旅费补助" localSheetId="10">#REF!</definedName>
    <definedName name="差旅费补助" localSheetId="20">#REF!</definedName>
    <definedName name="差旅费补助" localSheetId="11">#REF!</definedName>
    <definedName name="差旅费补助">#REF!</definedName>
    <definedName name="产品成本分摊表" localSheetId="6">#REF!</definedName>
    <definedName name="产品成本分摊表" localSheetId="10">#REF!</definedName>
    <definedName name="产品成本分摊表" localSheetId="20">#REF!</definedName>
    <definedName name="产品成本分摊表" localSheetId="11">#REF!</definedName>
    <definedName name="产品成本分摊表">#REF!</definedName>
    <definedName name="产品概述" localSheetId="6">#REF!</definedName>
    <definedName name="产品概述" localSheetId="10">#REF!</definedName>
    <definedName name="产品概述" localSheetId="20">#REF!</definedName>
    <definedName name="产品概述" localSheetId="11">#REF!</definedName>
    <definedName name="产品概述">#REF!</definedName>
    <definedName name="产品类型" localSheetId="6">#REF!</definedName>
    <definedName name="产品类型" localSheetId="10">#REF!</definedName>
    <definedName name="产品类型" localSheetId="20">#REF!</definedName>
    <definedName name="产品类型" localSheetId="11">#REF!</definedName>
    <definedName name="产品类型">#REF!</definedName>
    <definedName name="超高层塔式住宅" localSheetId="11">#REF!</definedName>
    <definedName name="超高层塔式住宅">#REF!</definedName>
    <definedName name="超高层写字楼" localSheetId="11">#REF!</definedName>
    <definedName name="超高层写字楼">#REF!</definedName>
    <definedName name="车位" localSheetId="6">#REF!</definedName>
    <definedName name="车位" localSheetId="10">#REF!</definedName>
    <definedName name="车位" localSheetId="20">#REF!</definedName>
    <definedName name="车位" localSheetId="11">#REF!</definedName>
    <definedName name="车位">#REF!</definedName>
    <definedName name="成本" localSheetId="6">#REF!</definedName>
    <definedName name="成本" localSheetId="10">#REF!</definedName>
    <definedName name="成本" localSheetId="20">#REF!</definedName>
    <definedName name="成本" localSheetId="11">#REF!</definedName>
    <definedName name="成本">#REF!</definedName>
    <definedName name="成本分析" localSheetId="20">#REF!</definedName>
    <definedName name="成本分析" localSheetId="11">#REF!</definedName>
    <definedName name="成本分析">#REF!</definedName>
    <definedName name="成本明细表" localSheetId="6">#REF!</definedName>
    <definedName name="成本明细表" localSheetId="10">#REF!</definedName>
    <definedName name="成本明细表" localSheetId="20">#REF!</definedName>
    <definedName name="成本明细表" localSheetId="11">#REF!</definedName>
    <definedName name="成本明细表">#REF!</definedName>
    <definedName name="成都锁定09" hidden="1">{#N/A,#N/A,FALSE,"Aging Summary";#N/A,#N/A,FALSE,"Ratio Analysis";#N/A,#N/A,FALSE,"Test 120 Day Accts";#N/A,#N/A,FALSE,"Tickmarks"}</definedName>
    <definedName name="城建" localSheetId="6">#REF!</definedName>
    <definedName name="城建" localSheetId="10">#REF!</definedName>
    <definedName name="城建" localSheetId="20">#REF!</definedName>
    <definedName name="城建" localSheetId="11">#REF!</definedName>
    <definedName name="城建">#REF!</definedName>
    <definedName name="存货93期初" localSheetId="6">#REF!</definedName>
    <definedName name="存货93期初" localSheetId="10">#REF!</definedName>
    <definedName name="存货93期初">#REF!</definedName>
    <definedName name="存货93期末" localSheetId="6">#REF!</definedName>
    <definedName name="存货93期末" localSheetId="10">#REF!</definedName>
    <definedName name="存货93期末">#REF!</definedName>
    <definedName name="存货94期初" localSheetId="6">#REF!</definedName>
    <definedName name="存货94期初" localSheetId="10">#REF!</definedName>
    <definedName name="存货94期初">#REF!</definedName>
    <definedName name="存货94期末" localSheetId="6">#REF!</definedName>
    <definedName name="存货94期末" localSheetId="10">#REF!</definedName>
    <definedName name="存货94期末">#REF!</definedName>
    <definedName name="存货95期初" localSheetId="6">#REF!</definedName>
    <definedName name="存货95期初" localSheetId="10">#REF!</definedName>
    <definedName name="存货95期初">#REF!</definedName>
    <definedName name="存货95期末" localSheetId="6">#REF!</definedName>
    <definedName name="存货95期末" localSheetId="10">#REF!</definedName>
    <definedName name="存货95期末">#REF!</definedName>
    <definedName name="大哥和环境是减肥" localSheetId="6">#REF!</definedName>
    <definedName name="大哥和环境是减肥" localSheetId="10">#REF!</definedName>
    <definedName name="大哥和环境是减肥" localSheetId="20">#REF!</definedName>
    <definedName name="大哥和环境是减肥" localSheetId="11">#REF!</definedName>
    <definedName name="大哥和环境是减肥">#REF!</definedName>
    <definedName name="大梯坎商业" localSheetId="11">#REF!</definedName>
    <definedName name="大梯坎商业">#REF!</definedName>
    <definedName name="待发生成本预测" localSheetId="6">#REF!</definedName>
    <definedName name="待发生成本预测" localSheetId="10">#REF!</definedName>
    <definedName name="待发生成本预测" localSheetId="20">#REF!</definedName>
    <definedName name="待发生成本预测" localSheetId="11">#REF!</definedName>
    <definedName name="待发生成本预测">#REF!</definedName>
    <definedName name="单价" localSheetId="6">#REF!</definedName>
    <definedName name="单价" localSheetId="10">#REF!</definedName>
    <definedName name="单价" localSheetId="20">#REF!</definedName>
    <definedName name="单价" localSheetId="11">#REF!</definedName>
    <definedName name="单价">#REF!</definedName>
    <definedName name="道路面积" localSheetId="11">#REF!</definedName>
    <definedName name="道路面积">#REF!</definedName>
    <definedName name="地面石材" localSheetId="6">#REF!</definedName>
    <definedName name="地面石材" localSheetId="10">#REF!</definedName>
    <definedName name="地面石材" localSheetId="20">#REF!</definedName>
    <definedName name="地面石材" localSheetId="11">#REF!</definedName>
    <definedName name="地面石材">#REF!</definedName>
    <definedName name="地面石材铺贴" localSheetId="6">#REF!</definedName>
    <definedName name="地面石材铺贴" localSheetId="10">#REF!</definedName>
    <definedName name="地面石材铺贴" localSheetId="20">#REF!</definedName>
    <definedName name="地面石材铺贴" localSheetId="11">#REF!</definedName>
    <definedName name="地面石材铺贴">#REF!</definedName>
    <definedName name="地上建筑面积">#REF!</definedName>
    <definedName name="地下车库" localSheetId="11">#REF!</definedName>
    <definedName name="地下车库">#REF!</definedName>
    <definedName name="地下分摊系数1" localSheetId="20">#REF!</definedName>
    <definedName name="地下分摊系数1" localSheetId="11">#REF!</definedName>
    <definedName name="地下分摊系数1">#REF!</definedName>
    <definedName name="帝皇米黄石" localSheetId="6">#REF!</definedName>
    <definedName name="帝皇米黄石" localSheetId="10">#REF!</definedName>
    <definedName name="帝皇米黄石" localSheetId="20">#REF!</definedName>
    <definedName name="帝皇米黄石" localSheetId="11">#REF!</definedName>
    <definedName name="帝皇米黄石">#REF!</definedName>
    <definedName name="递延资产" localSheetId="6">#REF!</definedName>
    <definedName name="递延资产" localSheetId="10">#REF!</definedName>
    <definedName name="递延资产" localSheetId="20">#REF!</definedName>
    <definedName name="递延资产" localSheetId="11">#REF!</definedName>
    <definedName name="递延资产">#REF!</definedName>
    <definedName name="调整" localSheetId="6">#REF!</definedName>
    <definedName name="调整" localSheetId="10">#REF!</definedName>
    <definedName name="调整" localSheetId="20">#REF!</definedName>
    <definedName name="调整" localSheetId="11">#REF!</definedName>
    <definedName name="调整">#REF!</definedName>
    <definedName name="调整分录汇总表_1997_1999.9.30" localSheetId="6">#REF!</definedName>
    <definedName name="调整分录汇总表_1997_1999.9.30" localSheetId="10">#REF!</definedName>
    <definedName name="调整分录汇总表_1997_1999.9.30" localSheetId="20">#REF!</definedName>
    <definedName name="调整分录汇总表_1997_1999.9.30" localSheetId="11">#REF!</definedName>
    <definedName name="调整分录汇总表_1997_1999.9.30">#REF!</definedName>
    <definedName name="都多哈发" localSheetId="6">#REF!</definedName>
    <definedName name="都多哈发" localSheetId="10">#REF!</definedName>
    <definedName name="都多哈发" localSheetId="20">#REF!</definedName>
    <definedName name="都多哈发" localSheetId="11">#REF!</definedName>
    <definedName name="都多哈发">#REF!</definedName>
    <definedName name="都多哈发1" localSheetId="6">#REF!</definedName>
    <definedName name="都多哈发1" localSheetId="10">#REF!</definedName>
    <definedName name="都多哈发1" localSheetId="20">#REF!</definedName>
    <definedName name="都多哈发1" localSheetId="11">#REF!</definedName>
    <definedName name="都多哈发1">#REF!</definedName>
    <definedName name="都很好的" localSheetId="6">#REF!</definedName>
    <definedName name="都很好的" localSheetId="10">#REF!</definedName>
    <definedName name="都很好的" localSheetId="20">#REF!</definedName>
    <definedName name="都很好的" localSheetId="11">#REF!</definedName>
    <definedName name="都很好的">#REF!</definedName>
    <definedName name="都很好的1" localSheetId="6">#REF!</definedName>
    <definedName name="都很好的1" localSheetId="10">#REF!</definedName>
    <definedName name="都很好的1" localSheetId="20">#REF!</definedName>
    <definedName name="都很好的1" localSheetId="11">#REF!</definedName>
    <definedName name="都很好的1">#REF!</definedName>
    <definedName name="对方的" localSheetId="6">EVALUATE+#REF!</definedName>
    <definedName name="对方的" localSheetId="10">EVALUATE+#REF!</definedName>
    <definedName name="对方的" localSheetId="20">EVALUATE+#REF!</definedName>
    <definedName name="对方的" localSheetId="11">EVALUATE+#REF!</definedName>
    <definedName name="对方的">EVALUATE+#REF!</definedName>
    <definedName name="多乐士配得丽底漆" localSheetId="6">#REF!</definedName>
    <definedName name="多乐士配得丽底漆" localSheetId="10">#REF!</definedName>
    <definedName name="多乐士配得丽底漆" localSheetId="20">#REF!</definedName>
    <definedName name="多乐士配得丽底漆" localSheetId="11">#REF!</definedName>
    <definedName name="多乐士配得丽底漆">#REF!</definedName>
    <definedName name="多乐士配得丽面漆" localSheetId="6">#REF!</definedName>
    <definedName name="多乐士配得丽面漆" localSheetId="10">#REF!</definedName>
    <definedName name="多乐士配得丽面漆" localSheetId="20">#REF!</definedName>
    <definedName name="多乐士配得丽面漆" localSheetId="11">#REF!</definedName>
    <definedName name="多乐士配得丽面漆">#REF!</definedName>
    <definedName name="俄否认其" localSheetId="6">#REF!</definedName>
    <definedName name="俄否认其" localSheetId="10">#REF!</definedName>
    <definedName name="俄否认其" localSheetId="20">#REF!</definedName>
    <definedName name="俄否认其" localSheetId="11">#REF!</definedName>
    <definedName name="俄否认其">#REF!</definedName>
    <definedName name="儿女" localSheetId="6">#REF!</definedName>
    <definedName name="儿女" localSheetId="10">#REF!</definedName>
    <definedName name="儿女" localSheetId="20">#REF!</definedName>
    <definedName name="儿女" localSheetId="11">#REF!</definedName>
    <definedName name="儿女">#REF!</definedName>
    <definedName name="分摊系数" localSheetId="6">#REF!</definedName>
    <definedName name="分摊系数" localSheetId="10">#REF!</definedName>
    <definedName name="分摊系数" localSheetId="20">#REF!</definedName>
    <definedName name="分摊系数" localSheetId="11">#REF!</definedName>
    <definedName name="分摊系数">#REF!</definedName>
    <definedName name="符合性测试" localSheetId="6">#REF!</definedName>
    <definedName name="符合性测试" localSheetId="10">#REF!</definedName>
    <definedName name="符合性测试" localSheetId="20">#REF!</definedName>
    <definedName name="符合性测试" localSheetId="11">#REF!</definedName>
    <definedName name="符合性测试">#REF!</definedName>
    <definedName name="福利费" localSheetId="6">#REF!</definedName>
    <definedName name="福利费" localSheetId="10">#REF!</definedName>
    <definedName name="福利费" localSheetId="20">#REF!</definedName>
    <definedName name="福利费" localSheetId="11">#REF!</definedName>
    <definedName name="福利费">#REF!</definedName>
    <definedName name="负债合计93期末" localSheetId="6">#REF!</definedName>
    <definedName name="负债合计93期末" localSheetId="10">#REF!</definedName>
    <definedName name="负债合计93期末">#REF!</definedName>
    <definedName name="负债合计94期末" localSheetId="6">#REF!</definedName>
    <definedName name="负债合计94期末" localSheetId="10">#REF!</definedName>
    <definedName name="负债合计94期末">#REF!</definedName>
    <definedName name="负债合计95期末" localSheetId="6">#REF!</definedName>
    <definedName name="负债合计95期末" localSheetId="10">#REF!</definedName>
    <definedName name="负债合计95期末">#REF!</definedName>
    <definedName name="高层塔式住宅" localSheetId="11">#REF!</definedName>
    <definedName name="高层塔式住宅">#REF!</definedName>
    <definedName name="各产品类型目标成本与动态成本比" localSheetId="6">#REF!</definedName>
    <definedName name="各产品类型目标成本与动态成本比" localSheetId="10">#REF!</definedName>
    <definedName name="各产品类型目标成本与动态成本比" localSheetId="20">#REF!</definedName>
    <definedName name="各产品类型目标成本与动态成本比" localSheetId="11">#REF!</definedName>
    <definedName name="各产品类型目标成本与动态成本比">#REF!</definedName>
    <definedName name="更多水果" localSheetId="1">#REF!</definedName>
    <definedName name="更多水果" localSheetId="6">#REF!</definedName>
    <definedName name="更多水果" localSheetId="10">#REF!</definedName>
    <definedName name="更多水果" localSheetId="2">#REF!</definedName>
    <definedName name="更多水果" localSheetId="3">#REF!</definedName>
    <definedName name="更多水果" localSheetId="19">#REF!</definedName>
    <definedName name="更多水果" localSheetId="20">#REF!</definedName>
    <definedName name="更多水果" localSheetId="4">#REF!</definedName>
    <definedName name="更多水果" localSheetId="11">#REF!</definedName>
    <definedName name="更多水果">#REF!</definedName>
    <definedName name="更多项目" localSheetId="1">#REF!</definedName>
    <definedName name="更多项目" localSheetId="6">#REF!</definedName>
    <definedName name="更多项目" localSheetId="10">#REF!</definedName>
    <definedName name="更多项目" localSheetId="2">#REF!</definedName>
    <definedName name="更多项目" localSheetId="3">#REF!</definedName>
    <definedName name="更多项目" localSheetId="19">#REF!</definedName>
    <definedName name="更多项目" localSheetId="20">#REF!</definedName>
    <definedName name="更多项目" localSheetId="4">#REF!</definedName>
    <definedName name="更多项目" localSheetId="11">#REF!</definedName>
    <definedName name="更多项目">#REF!</definedName>
    <definedName name="工" localSheetId="6">#REF!</definedName>
    <definedName name="工" localSheetId="10">#REF!</definedName>
    <definedName name="工" localSheetId="20">#REF!</definedName>
    <definedName name="工" localSheetId="11">#REF!</definedName>
    <definedName name="工">#REF!</definedName>
    <definedName name="工程量计算式" localSheetId="11">#REF!</definedName>
    <definedName name="工程量计算式">#REF!</definedName>
    <definedName name="工程造价" localSheetId="6">#REF!</definedName>
    <definedName name="工程造价" localSheetId="10">#REF!</definedName>
    <definedName name="工程造价" localSheetId="20">#REF!</definedName>
    <definedName name="工程造价" localSheetId="11">#REF!</definedName>
    <definedName name="工程造价">#REF!</definedName>
    <definedName name="公司名称" localSheetId="11">#REF!</definedName>
    <definedName name="公司名称">#REF!</definedName>
    <definedName name="固安" hidden="1">{#N/A,#N/A,FALSE,"Aging Summary";#N/A,#N/A,FALSE,"Ratio Analysis";#N/A,#N/A,FALSE,"Test 120 Day Accts";#N/A,#N/A,FALSE,"Tickmarks"}</definedName>
    <definedName name="固定资产" localSheetId="6">#REF!</definedName>
    <definedName name="固定资产" localSheetId="10">#REF!</definedName>
    <definedName name="固定资产" localSheetId="20">#REF!</definedName>
    <definedName name="固定资产" localSheetId="11">#REF!</definedName>
    <definedName name="固定资产">#REF!</definedName>
    <definedName name="固定资产原值表" localSheetId="6">#REF!</definedName>
    <definedName name="固定资产原值表" localSheetId="10">#REF!</definedName>
    <definedName name="固定资产原值表" localSheetId="20">#REF!</definedName>
    <definedName name="固定资产原值表" localSheetId="11">#REF!</definedName>
    <definedName name="固定资产原值表">#REF!</definedName>
    <definedName name="管理费用表.dbf" localSheetId="6">#REF!</definedName>
    <definedName name="管理费用表.dbf" localSheetId="10">#REF!</definedName>
    <definedName name="管理费用表.dbf" localSheetId="20">#REF!</definedName>
    <definedName name="管理费用表.dbf" localSheetId="11">#REF!</definedName>
    <definedName name="管理费用表.dbf">#REF!</definedName>
    <definedName name="管理费用表1.dbf" localSheetId="6">#REF!</definedName>
    <definedName name="管理费用表1.dbf" localSheetId="10">#REF!</definedName>
    <definedName name="管理费用表1.dbf" localSheetId="20">#REF!</definedName>
    <definedName name="管理费用表1.dbf" localSheetId="11">#REF!</definedName>
    <definedName name="管理费用表1.dbf">#REF!</definedName>
    <definedName name="管理费用明细4" localSheetId="6">#REF!</definedName>
    <definedName name="管理费用明细4" localSheetId="10">#REF!</definedName>
    <definedName name="管理费用明细4" localSheetId="20">#REF!</definedName>
    <definedName name="管理费用明细4" localSheetId="11">#REF!</definedName>
    <definedName name="管理费用明细4">#REF!</definedName>
    <definedName name="管理费用明细表.dbf" localSheetId="6">#REF!</definedName>
    <definedName name="管理费用明细表.dbf" localSheetId="10">#REF!</definedName>
    <definedName name="管理费用明细表.dbf" localSheetId="20">#REF!</definedName>
    <definedName name="管理费用明细表.dbf" localSheetId="11">#REF!</definedName>
    <definedName name="管理费用明细表.dbf">#REF!</definedName>
    <definedName name="管理费用明细表2" localSheetId="6">#REF!</definedName>
    <definedName name="管理费用明细表2" localSheetId="10">#REF!</definedName>
    <definedName name="管理费用明细表2" localSheetId="20">#REF!</definedName>
    <definedName name="管理费用明细表2" localSheetId="11">#REF!</definedName>
    <definedName name="管理费用明细表2">#REF!</definedName>
    <definedName name="管理费用明细表3.dbf" localSheetId="6">#REF!</definedName>
    <definedName name="管理费用明细表3.dbf" localSheetId="10">#REF!</definedName>
    <definedName name="管理费用明细表3.dbf" localSheetId="20">#REF!</definedName>
    <definedName name="管理费用明细表3.dbf" localSheetId="11">#REF!</definedName>
    <definedName name="管理费用明细表3.dbf">#REF!</definedName>
    <definedName name="管理明细表.dbf" localSheetId="6">#REF!</definedName>
    <definedName name="管理明细表.dbf" localSheetId="10">#REF!</definedName>
    <definedName name="管理明细表.dbf" localSheetId="20">#REF!</definedName>
    <definedName name="管理明细表.dbf" localSheetId="11">#REF!</definedName>
    <definedName name="管理明细表.dbf">#REF!</definedName>
    <definedName name="国泰路方涵" localSheetId="6">#REF!</definedName>
    <definedName name="国泰路方涵" localSheetId="10">#REF!</definedName>
    <definedName name="国泰路方涵" localSheetId="20">#REF!</definedName>
    <definedName name="国泰路方涵" localSheetId="11">#REF!</definedName>
    <definedName name="国泰路方涵">#REF!</definedName>
    <definedName name="豪华装修" localSheetId="11">#REF!</definedName>
    <definedName name="豪华装修">#REF!</definedName>
    <definedName name="合并组" localSheetId="20">#REF!</definedName>
    <definedName name="合并组" localSheetId="11">#REF!</definedName>
    <definedName name="合并组">#REF!</definedName>
    <definedName name="合计" localSheetId="6">#REF!</definedName>
    <definedName name="合计" localSheetId="10">#REF!</definedName>
    <definedName name="合计" localSheetId="20">#REF!</definedName>
    <definedName name="合计" localSheetId="11">#REF!</definedName>
    <definedName name="合计">#REF!</definedName>
    <definedName name="合同" localSheetId="6">#REF!</definedName>
    <definedName name="合同" localSheetId="10">#REF!</definedName>
    <definedName name="合同" localSheetId="20">#REF!</definedName>
    <definedName name="合同" localSheetId="11">#REF!</definedName>
    <definedName name="合同">#REF!</definedName>
    <definedName name="合资胶合板12mm" localSheetId="6">#REF!</definedName>
    <definedName name="合资胶合板12mm" localSheetId="10">#REF!</definedName>
    <definedName name="合资胶合板12mm" localSheetId="20">#REF!</definedName>
    <definedName name="合资胶合板12mm" localSheetId="11">#REF!</definedName>
    <definedName name="合资胶合板12mm">#REF!</definedName>
    <definedName name="合资胶合板15mm" localSheetId="6">#REF!</definedName>
    <definedName name="合资胶合板15mm" localSheetId="10">#REF!</definedName>
    <definedName name="合资胶合板15mm" localSheetId="20">#REF!</definedName>
    <definedName name="合资胶合板15mm" localSheetId="11">#REF!</definedName>
    <definedName name="合资胶合板15mm">#REF!</definedName>
    <definedName name="合资胶合板18mm" localSheetId="6">#REF!</definedName>
    <definedName name="合资胶合板18mm" localSheetId="10">#REF!</definedName>
    <definedName name="合资胶合板18mm" localSheetId="20">#REF!</definedName>
    <definedName name="合资胶合板18mm" localSheetId="11">#REF!</definedName>
    <definedName name="合资胶合板18mm">#REF!</definedName>
    <definedName name="合资胶合板9mm" localSheetId="6">#REF!</definedName>
    <definedName name="合资胶合板9mm" localSheetId="10">#REF!</definedName>
    <definedName name="合资胶合板9mm" localSheetId="20">#REF!</definedName>
    <definedName name="合资胶合板9mm" localSheetId="11">#REF!</definedName>
    <definedName name="合资胶合板9mm">#REF!</definedName>
    <definedName name="核算项目明细账_1133_06_00" localSheetId="6">#REF!</definedName>
    <definedName name="核算项目明细账_1133_06_00" localSheetId="10">#REF!</definedName>
    <definedName name="核算项目明细账_1133_06_00" localSheetId="20">#REF!</definedName>
    <definedName name="核算项目明细账_1133_06_00" localSheetId="11">#REF!</definedName>
    <definedName name="核算项目明细账_1133_06_00">#REF!</definedName>
    <definedName name="黑豹防水涂料" localSheetId="6">#REF!</definedName>
    <definedName name="黑豹防水涂料" localSheetId="10">#REF!</definedName>
    <definedName name="黑豹防水涂料" localSheetId="20">#REF!</definedName>
    <definedName name="黑豹防水涂料" localSheetId="11">#REF!</definedName>
    <definedName name="黑豹防水涂料">#REF!</definedName>
    <definedName name="黑金花石60mm" localSheetId="6">#REF!</definedName>
    <definedName name="黑金花石60mm" localSheetId="10">#REF!</definedName>
    <definedName name="黑金花石60mm" localSheetId="20">#REF!</definedName>
    <definedName name="黑金花石60mm" localSheetId="11">#REF!</definedName>
    <definedName name="黑金花石60mm">#REF!</definedName>
    <definedName name="花盛香醍项目" hidden="1">{#N/A,#N/A,FALSE,"Aging Summary";#N/A,#N/A,FALSE,"Ratio Analysis";#N/A,#N/A,FALSE,"Test 120 Day Accts";#N/A,#N/A,FALSE,"Tickmarks"}</definedName>
    <definedName name="华房" localSheetId="20">#REF!</definedName>
    <definedName name="华房">#REF!</definedName>
    <definedName name="华置曙协字_2003_170号" localSheetId="6">#REF!</definedName>
    <definedName name="华置曙协字_2003_170号" localSheetId="10">#REF!</definedName>
    <definedName name="华置曙协字_2003_170号" localSheetId="20">#REF!</definedName>
    <definedName name="华置曙协字_2003_170号" localSheetId="11">#REF!</definedName>
    <definedName name="华置曙协字_2003_170号">#REF!</definedName>
    <definedName name="怀来" hidden="1">{#N/A,#N/A,FALSE,"资产负债表";#N/A,#N/A,FALSE,"资产负债表"}</definedName>
    <definedName name="汇率" localSheetId="6">#REF!</definedName>
    <definedName name="汇率" localSheetId="10">#REF!</definedName>
    <definedName name="汇率" localSheetId="20">#REF!</definedName>
    <definedName name="汇率" localSheetId="11">#REF!</definedName>
    <definedName name="汇率">#REF!</definedName>
    <definedName name="会计年度期间" localSheetId="20">#REF!</definedName>
    <definedName name="会计年度期间" localSheetId="11">#REF!</definedName>
    <definedName name="会计年度期间">#REF!</definedName>
    <definedName name="会所" localSheetId="11">#REF!</definedName>
    <definedName name="会所">#REF!</definedName>
    <definedName name="货币资金1" localSheetId="6">#REF!</definedName>
    <definedName name="货币资金1" localSheetId="10">#REF!</definedName>
    <definedName name="货币资金1" localSheetId="20">#REF!</definedName>
    <definedName name="货币资金1" localSheetId="11">#REF!</definedName>
    <definedName name="货币资金1">#REF!</definedName>
    <definedName name="积极" localSheetId="6">#REF!</definedName>
    <definedName name="积极" localSheetId="10">#REF!</definedName>
    <definedName name="积极" localSheetId="20">#REF!</definedName>
    <definedName name="积极" localSheetId="11">#REF!</definedName>
    <definedName name="积极">#REF!</definedName>
    <definedName name="加价基准" localSheetId="20">#REF!</definedName>
    <definedName name="加价基准">#REF!</definedName>
    <definedName name="加价基准2" localSheetId="20">#REF!</definedName>
    <definedName name="加价基准2">#REF!</definedName>
    <definedName name="建安均价" localSheetId="6">#REF!</definedName>
    <definedName name="建安均价" localSheetId="10">#REF!</definedName>
    <definedName name="建安均价" localSheetId="20">#REF!</definedName>
    <definedName name="建安均价" localSheetId="11">#REF!</definedName>
    <definedName name="建安均价">#REF!</definedName>
    <definedName name="建面" localSheetId="6">#REF!</definedName>
    <definedName name="建面" localSheetId="10">#REF!</definedName>
    <definedName name="建面" localSheetId="20">#REF!</definedName>
    <definedName name="建面" localSheetId="11">#REF!</definedName>
    <definedName name="建面">#REF!</definedName>
    <definedName name="建筑面积" localSheetId="20">#REF!</definedName>
    <definedName name="建筑面积" localSheetId="11">#REF!</definedName>
    <definedName name="建筑面积">#REF!</definedName>
    <definedName name="剑桥郡" localSheetId="6">EVALUATE+#REF!</definedName>
    <definedName name="剑桥郡" localSheetId="10">EVALUATE+#REF!</definedName>
    <definedName name="剑桥郡" localSheetId="20">EVALUATE+#REF!</definedName>
    <definedName name="剑桥郡" localSheetId="11">EVALUATE+#REF!</definedName>
    <definedName name="剑桥郡">EVALUATE+#REF!</definedName>
    <definedName name="健翔" localSheetId="20">#REF!</definedName>
    <definedName name="健翔">#REF!</definedName>
    <definedName name="结算面积索引" localSheetId="11">INDIRECT(ADDRESS(#REF!,COLUMN(),,,#REF!))</definedName>
    <definedName name="结算面积索引">INDIRECT(ADDRESS(#REF!,COLUMN(),,,#REF!))</definedName>
    <definedName name="结算明细分产品类型汇总" localSheetId="11">SUMIF(#REF!,#REF!,#REF!)</definedName>
    <definedName name="结算明细分产品类型汇总">SUMIF(#REF!,#REF!,#REF!)</definedName>
    <definedName name="结算明细索引" localSheetId="11">INDIRECT(ADDRESS(#REF!,COLUMN(),,,#REF!))</definedName>
    <definedName name="结算明细索引">INDIRECT(ADDRESS(#REF!,COLUMN(),,,#REF!))</definedName>
    <definedName name="借或贷序列" localSheetId="11">#REF!</definedName>
    <definedName name="借或贷序列">#REF!</definedName>
    <definedName name="京通" localSheetId="20">#REF!</definedName>
    <definedName name="京通">#REF!</definedName>
    <definedName name="景观面积" localSheetId="11">#REF!</definedName>
    <definedName name="景观面积">#REF!</definedName>
    <definedName name="净_利_润93" localSheetId="6">#REF!</definedName>
    <definedName name="净_利_润93" localSheetId="10">#REF!</definedName>
    <definedName name="净_利_润93">#REF!</definedName>
    <definedName name="净_利_润94" localSheetId="6">#REF!</definedName>
    <definedName name="净_利_润94" localSheetId="10">#REF!</definedName>
    <definedName name="净_利_润94">#REF!</definedName>
    <definedName name="净_利_润95" localSheetId="6">#REF!</definedName>
    <definedName name="净_利_润95" localSheetId="10">#REF!</definedName>
    <definedName name="净_利_润95">#REF!</definedName>
    <definedName name="净资产合计93期初" localSheetId="6">#REF!</definedName>
    <definedName name="净资产合计93期初" localSheetId="10">#REF!</definedName>
    <definedName name="净资产合计93期初">#REF!</definedName>
    <definedName name="净资产合计93期末" localSheetId="6">#REF!</definedName>
    <definedName name="净资产合计93期末" localSheetId="10">#REF!</definedName>
    <definedName name="净资产合计93期末">#REF!</definedName>
    <definedName name="净资产合计94期初" localSheetId="6">#REF!</definedName>
    <definedName name="净资产合计94期初" localSheetId="10">#REF!</definedName>
    <definedName name="净资产合计94期初">#REF!</definedName>
    <definedName name="净资产合计94期末" localSheetId="6">#REF!</definedName>
    <definedName name="净资产合计94期末" localSheetId="10">#REF!</definedName>
    <definedName name="净资产合计94期末">#REF!</definedName>
    <definedName name="净资产合计95期初" localSheetId="6">#REF!</definedName>
    <definedName name="净资产合计95期初" localSheetId="10">#REF!</definedName>
    <definedName name="净资产合计95期初">#REF!</definedName>
    <definedName name="净资产合计95期末" localSheetId="6">#REF!</definedName>
    <definedName name="净资产合计95期末" localSheetId="10">#REF!</definedName>
    <definedName name="净资产合计95期末">#REF!</definedName>
    <definedName name="酒店式公寓" localSheetId="11">#REF!</definedName>
    <definedName name="酒店式公寓">#REF!</definedName>
    <definedName name="居住户数" localSheetId="11">#REF!</definedName>
    <definedName name="居住户数">#REF!</definedName>
    <definedName name="竣工面积索引" localSheetId="11">INDIRECT(ADDRESS(#REF!,COLUMN(),,,#REF!))</definedName>
    <definedName name="竣工面积索引">INDIRECT(ADDRESS(#REF!,COLUMN(),,,#REF!))</definedName>
    <definedName name="开发成本" localSheetId="6">#REF!</definedName>
    <definedName name="开发成本" localSheetId="10">#REF!</definedName>
    <definedName name="开发成本" localSheetId="20">#REF!</definedName>
    <definedName name="开发成本" localSheetId="11">#REF!</definedName>
    <definedName name="开发成本">#REF!</definedName>
    <definedName name="开间费" localSheetId="6">#REF!</definedName>
    <definedName name="开间费" localSheetId="10">#REF!</definedName>
    <definedName name="开间费" localSheetId="20">#REF!</definedName>
    <definedName name="开间费" localSheetId="11">#REF!</definedName>
    <definedName name="开间费">#REF!</definedName>
    <definedName name="科目">#REF!</definedName>
    <definedName name="科目列表序列" localSheetId="11">#REF!</definedName>
    <definedName name="科目列表序列">#REF!</definedName>
    <definedName name="科目余额表" localSheetId="6">#REF!</definedName>
    <definedName name="科目余额表" localSheetId="10">#REF!</definedName>
    <definedName name="科目余额表" localSheetId="20">#REF!</definedName>
    <definedName name="科目余额表" localSheetId="11">#REF!</definedName>
    <definedName name="科目余额表">#REF!</definedName>
    <definedName name="可销售面积" localSheetId="20">#REF!</definedName>
    <definedName name="可销售面积" localSheetId="11">#REF!</definedName>
    <definedName name="可销售面积">#REF!</definedName>
    <definedName name="可销售面积1" localSheetId="20">#REF!</definedName>
    <definedName name="可销售面积1">#REF!</definedName>
    <definedName name="可销售面积2" localSheetId="20">#REF!</definedName>
    <definedName name="可销售面积2">#REF!</definedName>
    <definedName name="栏杆价格明细" localSheetId="6">EVALUATE+#REF!</definedName>
    <definedName name="栏杆价格明细" localSheetId="10">EVALUATE+#REF!</definedName>
    <definedName name="栏杆价格明细" localSheetId="20">EVALUATE+#REF!</definedName>
    <definedName name="栏杆价格明细" localSheetId="11">EVALUATE+#REF!</definedName>
    <definedName name="栏杆价格明细">EVALUATE+#REF!</definedName>
    <definedName name="累计签约收入索引" localSheetId="11">INDIRECT(ADDRESS(#REF!,#REF!,,,#REF!))</definedName>
    <definedName name="累计签约收入索引">INDIRECT(ADDRESS(#REF!,#REF!,,,#REF!))</definedName>
    <definedName name="利_润_总_额93" localSheetId="6">#REF!</definedName>
    <definedName name="利_润_总_额93" localSheetId="10">#REF!</definedName>
    <definedName name="利_润_总_额93">#REF!</definedName>
    <definedName name="利_润_总_额94" localSheetId="6">#REF!</definedName>
    <definedName name="利_润_总_额94" localSheetId="10">#REF!</definedName>
    <definedName name="利_润_总_额94">#REF!</definedName>
    <definedName name="利_润_总_额95" localSheetId="6">#REF!</definedName>
    <definedName name="利_润_总_额95" localSheetId="10">#REF!</definedName>
    <definedName name="利_润_总_额95">#REF!</definedName>
    <definedName name="利息支出" localSheetId="6">#REF!</definedName>
    <definedName name="利息支出" localSheetId="10">#REF!</definedName>
    <definedName name="利息支出" localSheetId="20">#REF!</definedName>
    <definedName name="利息支出" localSheetId="11">#REF!</definedName>
    <definedName name="利息支出">#REF!</definedName>
    <definedName name="利息总额" localSheetId="6">#REF!</definedName>
    <definedName name="利息总额" localSheetId="10">#REF!</definedName>
    <definedName name="利息总额" localSheetId="20">#REF!</definedName>
    <definedName name="利息总额" localSheetId="11">#REF!</definedName>
    <definedName name="利息总额">#REF!</definedName>
    <definedName name="临规划路商业" localSheetId="11">#REF!</definedName>
    <definedName name="临规划路商业">#REF!</definedName>
    <definedName name="零星" localSheetId="6">#REF!</definedName>
    <definedName name="零星" localSheetId="10">#REF!</definedName>
    <definedName name="零星" localSheetId="20">#REF!</definedName>
    <definedName name="零星" localSheetId="11">#REF!</definedName>
    <definedName name="零星">#REF!</definedName>
    <definedName name="流_动_资_产93" localSheetId="6">#REF!</definedName>
    <definedName name="流_动_资_产93" localSheetId="10">#REF!</definedName>
    <definedName name="流_动_资_产93">#REF!</definedName>
    <definedName name="流_动_资_产94" localSheetId="6">#REF!</definedName>
    <definedName name="流_动_资_产94" localSheetId="10">#REF!</definedName>
    <definedName name="流_动_资_产94">#REF!</definedName>
    <definedName name="流_动_资_产95" localSheetId="6">#REF!</definedName>
    <definedName name="流_动_资_产95" localSheetId="10">#REF!</definedName>
    <definedName name="流_动_资_产95">#REF!</definedName>
    <definedName name="流动负债" localSheetId="6">#REF!</definedName>
    <definedName name="流动负债" localSheetId="10">#REF!</definedName>
    <definedName name="流动负债" localSheetId="20">#REF!</definedName>
    <definedName name="流动负债" localSheetId="11">#REF!</definedName>
    <definedName name="流动负债">#REF!</definedName>
    <definedName name="流动负债93期末" localSheetId="6">#REF!</definedName>
    <definedName name="流动负债93期末" localSheetId="10">#REF!</definedName>
    <definedName name="流动负债93期末">#REF!</definedName>
    <definedName name="流动负债94期末" localSheetId="6">#REF!</definedName>
    <definedName name="流动负债94期末" localSheetId="10">#REF!</definedName>
    <definedName name="流动负债94期末">#REF!</definedName>
    <definedName name="流动负债95期末" localSheetId="6">#REF!</definedName>
    <definedName name="流动负债95期末" localSheetId="10">#REF!</definedName>
    <definedName name="流动负债95期末">#REF!</definedName>
    <definedName name="流动资产" localSheetId="6">#REF!</definedName>
    <definedName name="流动资产" localSheetId="10">#REF!</definedName>
    <definedName name="流动资产" localSheetId="20">#REF!</definedName>
    <definedName name="流动资产" localSheetId="11">#REF!</definedName>
    <definedName name="流动资产">#REF!</definedName>
    <definedName name="滦平" hidden="1">{#N/A,#N/A,FALSE,"资产负债表";#N/A,#N/A,FALSE,"资产负债表"}</definedName>
    <definedName name="乱起" localSheetId="6">#REF!</definedName>
    <definedName name="乱起" localSheetId="10">#REF!</definedName>
    <definedName name="乱起" localSheetId="20">#REF!</definedName>
    <definedName name="乱起" localSheetId="11">#REF!</definedName>
    <definedName name="乱起">#REF!</definedName>
    <definedName name="铝单板2.5mm" localSheetId="6">#REF!</definedName>
    <definedName name="铝单板2.5mm" localSheetId="10">#REF!</definedName>
    <definedName name="铝单板2.5mm" localSheetId="20">#REF!</definedName>
    <definedName name="铝单板2.5mm" localSheetId="11">#REF!</definedName>
    <definedName name="铝单板2.5mm">#REF!</definedName>
    <definedName name="铝单板人工" localSheetId="6">#REF!</definedName>
    <definedName name="铝单板人工" localSheetId="10">#REF!</definedName>
    <definedName name="铝单板人工" localSheetId="20">#REF!</definedName>
    <definedName name="铝单板人工" localSheetId="11">#REF!</definedName>
    <definedName name="铝单板人工">#REF!</definedName>
    <definedName name="每亩地价" localSheetId="6">#REF!</definedName>
    <definedName name="每亩地价" localSheetId="10">#REF!</definedName>
    <definedName name="每亩地价" localSheetId="20">#REF!</definedName>
    <definedName name="每亩地价" localSheetId="11">#REF!</definedName>
    <definedName name="每亩地价">#REF!</definedName>
    <definedName name="门洞塞缝" localSheetId="6">#REF!</definedName>
    <definedName name="门洞塞缝" localSheetId="10">#REF!</definedName>
    <definedName name="门洞塞缝" localSheetId="20">#REF!</definedName>
    <definedName name="门洞塞缝" localSheetId="11">#REF!</definedName>
    <definedName name="门洞塞缝">#REF!</definedName>
    <definedName name="面积" localSheetId="20">#REF!</definedName>
    <definedName name="面积" localSheetId="11">#REF!</definedName>
    <definedName name="面积">#REF!</definedName>
    <definedName name="名称困扰" localSheetId="6">#REF!</definedName>
    <definedName name="名称困扰" localSheetId="10">#REF!</definedName>
    <definedName name="名称困扰" localSheetId="20">#REF!</definedName>
    <definedName name="名称困扰" localSheetId="11">#REF!</definedName>
    <definedName name="名称困扰">#REF!</definedName>
    <definedName name="内部控制问卷" localSheetId="6">#REF!</definedName>
    <definedName name="内部控制问卷" localSheetId="10">#REF!</definedName>
    <definedName name="内部控制问卷" localSheetId="20">#REF!</definedName>
    <definedName name="内部控制问卷" localSheetId="11">#REF!</definedName>
    <definedName name="内部控制问卷">#REF!</definedName>
    <definedName name="内部收益率" localSheetId="6">#REF!</definedName>
    <definedName name="内部收益率" localSheetId="10">#REF!</definedName>
    <definedName name="内部收益率" localSheetId="20">#REF!</definedName>
    <definedName name="内部收益率" localSheetId="11">#REF!</definedName>
    <definedName name="内部收益率">#REF!</definedName>
    <definedName name="腻子" localSheetId="6">#REF!</definedName>
    <definedName name="腻子" localSheetId="10">#REF!</definedName>
    <definedName name="腻子" localSheetId="20">#REF!</definedName>
    <definedName name="腻子" localSheetId="11">#REF!</definedName>
    <definedName name="腻子">#REF!</definedName>
    <definedName name="年度预算" localSheetId="11">#REF!</definedName>
    <definedName name="年度预算">#REF!</definedName>
    <definedName name="其他.dbf" localSheetId="6">#REF!</definedName>
    <definedName name="其他.dbf" localSheetId="10">#REF!</definedName>
    <definedName name="其他.dbf" localSheetId="20">#REF!</definedName>
    <definedName name="其他.dbf" localSheetId="11">#REF!</definedName>
    <definedName name="其他.dbf">#REF!</definedName>
    <definedName name="其他产品">#REF!</definedName>
    <definedName name="其它类" localSheetId="6">#REF!</definedName>
    <definedName name="其它类" localSheetId="10">#REF!</definedName>
    <definedName name="其它类" localSheetId="20">#REF!</definedName>
    <definedName name="其它类" localSheetId="11">#REF!</definedName>
    <definedName name="其它类">#REF!</definedName>
    <definedName name="汽车费用" localSheetId="6">#REF!</definedName>
    <definedName name="汽车费用" localSheetId="10">#REF!</definedName>
    <definedName name="汽车费用" localSheetId="20">#REF!</definedName>
    <definedName name="汽车费用" localSheetId="11">#REF!</definedName>
    <definedName name="汽车费用">#REF!</definedName>
    <definedName name="汽车展示厅" localSheetId="11">#REF!</definedName>
    <definedName name="汽车展示厅">#REF!</definedName>
    <definedName name="签约明细索引" localSheetId="11">INDIRECT(ADDRESS(#REF!,COLUMN(),,,#REF!))</definedName>
    <definedName name="签约明细索引">INDIRECT(ADDRESS(#REF!,COLUMN(),,,#REF!))</definedName>
    <definedName name="墙面石材铺贴" localSheetId="6">#REF!</definedName>
    <definedName name="墙面石材铺贴" localSheetId="10">#REF!</definedName>
    <definedName name="墙面石材铺贴" localSheetId="20">#REF!</definedName>
    <definedName name="墙面石材铺贴" localSheetId="11">#REF!</definedName>
    <definedName name="墙面石材铺贴">#REF!</definedName>
    <definedName name="墙纸" localSheetId="6">#REF!</definedName>
    <definedName name="墙纸" localSheetId="10">#REF!</definedName>
    <definedName name="墙纸" localSheetId="20">#REF!</definedName>
    <definedName name="墙纸" localSheetId="11">#REF!</definedName>
    <definedName name="墙纸">#REF!</definedName>
    <definedName name="墙纸人工" localSheetId="6">#REF!</definedName>
    <definedName name="墙纸人工" localSheetId="10">#REF!</definedName>
    <definedName name="墙纸人工" localSheetId="20">#REF!</definedName>
    <definedName name="墙纸人工" localSheetId="11">#REF!</definedName>
    <definedName name="墙纸人工">#REF!</definedName>
    <definedName name="轻钢龙骨埃特板天花吊顶" localSheetId="6">#REF!</definedName>
    <definedName name="轻钢龙骨埃特板天花吊顶" localSheetId="10">#REF!</definedName>
    <definedName name="轻钢龙骨埃特板天花吊顶" localSheetId="20">#REF!</definedName>
    <definedName name="轻钢龙骨埃特板天花吊顶" localSheetId="11">#REF!</definedName>
    <definedName name="轻钢龙骨埃特板天花吊顶">#REF!</definedName>
    <definedName name="全项目动态成本表" localSheetId="6">#REF!</definedName>
    <definedName name="全项目动态成本表" localSheetId="10">#REF!</definedName>
    <definedName name="全项目动态成本表" localSheetId="20">#REF!</definedName>
    <definedName name="全项目动态成本表" localSheetId="11">#REF!</definedName>
    <definedName name="全项目动态成本表">#REF!</definedName>
    <definedName name="人防" localSheetId="11">#REF!</definedName>
    <definedName name="人防">#REF!</definedName>
    <definedName name="日历年季度" localSheetId="20">#REF!</definedName>
    <definedName name="日历年季度" localSheetId="11">#REF!</definedName>
    <definedName name="日历年季度">#REF!</definedName>
    <definedName name="肉类" localSheetId="1">#REF!</definedName>
    <definedName name="肉类" localSheetId="6">#REF!</definedName>
    <definedName name="肉类" localSheetId="10">#REF!</definedName>
    <definedName name="肉类" localSheetId="2">#REF!</definedName>
    <definedName name="肉类" localSheetId="3">#REF!</definedName>
    <definedName name="肉类" localSheetId="19">#REF!</definedName>
    <definedName name="肉类" localSheetId="20">#REF!</definedName>
    <definedName name="肉类" localSheetId="4">#REF!</definedName>
    <definedName name="肉类" localSheetId="11">#REF!</definedName>
    <definedName name="肉类">#REF!</definedName>
    <definedName name="乳胶漆人工" localSheetId="6">#REF!</definedName>
    <definedName name="乳胶漆人工" localSheetId="10">#REF!</definedName>
    <definedName name="乳胶漆人工" localSheetId="20">#REF!</definedName>
    <definedName name="乳胶漆人工" localSheetId="11">#REF!</definedName>
    <definedName name="乳胶漆人工">#REF!</definedName>
    <definedName name="商业" localSheetId="6">#REF!</definedName>
    <definedName name="商业" localSheetId="10">#REF!</definedName>
    <definedName name="商业" localSheetId="20">#REF!</definedName>
    <definedName name="商业" localSheetId="11">#REF!</definedName>
    <definedName name="商业">#REF!</definedName>
    <definedName name="沈玉环" localSheetId="6">#REF!</definedName>
    <definedName name="沈玉环" localSheetId="10">#REF!</definedName>
    <definedName name="沈玉环" localSheetId="20">#REF!</definedName>
    <definedName name="沈玉环" localSheetId="11">#REF!</definedName>
    <definedName name="沈玉环">#REF!</definedName>
    <definedName name="生产列1" localSheetId="6">#REF!</definedName>
    <definedName name="生产列1" localSheetId="10">#REF!</definedName>
    <definedName name="生产列1" localSheetId="20">#REF!</definedName>
    <definedName name="生产列1" localSheetId="11">#REF!</definedName>
    <definedName name="生产列1">#REF!</definedName>
    <definedName name="生产列11" localSheetId="6">#REF!</definedName>
    <definedName name="生产列11" localSheetId="10">#REF!</definedName>
    <definedName name="生产列11" localSheetId="20">#REF!</definedName>
    <definedName name="生产列11" localSheetId="11">#REF!</definedName>
    <definedName name="生产列11">#REF!</definedName>
    <definedName name="生产列15" localSheetId="6">#REF!</definedName>
    <definedName name="生产列15" localSheetId="10">#REF!</definedName>
    <definedName name="生产列15" localSheetId="20">#REF!</definedName>
    <definedName name="生产列15" localSheetId="11">#REF!</definedName>
    <definedName name="生产列15">#REF!</definedName>
    <definedName name="生产列16" localSheetId="6">#REF!</definedName>
    <definedName name="生产列16" localSheetId="10">#REF!</definedName>
    <definedName name="生产列16" localSheetId="20">#REF!</definedName>
    <definedName name="生产列16" localSheetId="11">#REF!</definedName>
    <definedName name="生产列16">#REF!</definedName>
    <definedName name="生产列17" localSheetId="6">#REF!</definedName>
    <definedName name="生产列17" localSheetId="10">#REF!</definedName>
    <definedName name="生产列17" localSheetId="20">#REF!</definedName>
    <definedName name="生产列17" localSheetId="11">#REF!</definedName>
    <definedName name="生产列17">#REF!</definedName>
    <definedName name="生产列19" localSheetId="6">#REF!</definedName>
    <definedName name="生产列19" localSheetId="10">#REF!</definedName>
    <definedName name="生产列19" localSheetId="20">#REF!</definedName>
    <definedName name="生产列19" localSheetId="11">#REF!</definedName>
    <definedName name="生产列19">#REF!</definedName>
    <definedName name="生产列2" localSheetId="6">#REF!</definedName>
    <definedName name="生产列2" localSheetId="10">#REF!</definedName>
    <definedName name="生产列2" localSheetId="20">#REF!</definedName>
    <definedName name="生产列2" localSheetId="11">#REF!</definedName>
    <definedName name="生产列2">#REF!</definedName>
    <definedName name="生产列20" localSheetId="6">#REF!</definedName>
    <definedName name="生产列20" localSheetId="10">#REF!</definedName>
    <definedName name="生产列20" localSheetId="20">#REF!</definedName>
    <definedName name="生产列20" localSheetId="11">#REF!</definedName>
    <definedName name="生产列20">#REF!</definedName>
    <definedName name="生产列3" localSheetId="6">#REF!</definedName>
    <definedName name="生产列3" localSheetId="10">#REF!</definedName>
    <definedName name="生产列3" localSheetId="20">#REF!</definedName>
    <definedName name="生产列3" localSheetId="11">#REF!</definedName>
    <definedName name="生产列3">#REF!</definedName>
    <definedName name="生产列4" localSheetId="6">#REF!</definedName>
    <definedName name="生产列4" localSheetId="10">#REF!</definedName>
    <definedName name="生产列4" localSheetId="20">#REF!</definedName>
    <definedName name="生产列4" localSheetId="11">#REF!</definedName>
    <definedName name="生产列4">#REF!</definedName>
    <definedName name="生产列5" localSheetId="6">#REF!</definedName>
    <definedName name="生产列5" localSheetId="10">#REF!</definedName>
    <definedName name="生产列5" localSheetId="20">#REF!</definedName>
    <definedName name="生产列5" localSheetId="11">#REF!</definedName>
    <definedName name="生产列5">#REF!</definedName>
    <definedName name="生产列6" localSheetId="6">#REF!</definedName>
    <definedName name="生产列6" localSheetId="10">#REF!</definedName>
    <definedName name="生产列6" localSheetId="20">#REF!</definedName>
    <definedName name="生产列6" localSheetId="11">#REF!</definedName>
    <definedName name="生产列6">#REF!</definedName>
    <definedName name="生产列7" localSheetId="6">#REF!</definedName>
    <definedName name="生产列7" localSheetId="10">#REF!</definedName>
    <definedName name="生产列7" localSheetId="20">#REF!</definedName>
    <definedName name="生产列7" localSheetId="11">#REF!</definedName>
    <definedName name="生产列7">#REF!</definedName>
    <definedName name="生产列8" localSheetId="6">#REF!</definedName>
    <definedName name="生产列8" localSheetId="10">#REF!</definedName>
    <definedName name="生产列8" localSheetId="20">#REF!</definedName>
    <definedName name="生产列8" localSheetId="11">#REF!</definedName>
    <definedName name="生产列8">#REF!</definedName>
    <definedName name="生产列9" localSheetId="6">#REF!</definedName>
    <definedName name="生产列9" localSheetId="10">#REF!</definedName>
    <definedName name="生产列9" localSheetId="20">#REF!</definedName>
    <definedName name="生产列9" localSheetId="11">#REF!</definedName>
    <definedName name="生产列9">#REF!</definedName>
    <definedName name="生产期" localSheetId="6">#REF!</definedName>
    <definedName name="生产期" localSheetId="10">#REF!</definedName>
    <definedName name="生产期" localSheetId="20">#REF!</definedName>
    <definedName name="生产期" localSheetId="11">#REF!</definedName>
    <definedName name="生产期">#REF!</definedName>
    <definedName name="生产期1" localSheetId="6">#REF!</definedName>
    <definedName name="生产期1" localSheetId="10">#REF!</definedName>
    <definedName name="生产期1" localSheetId="20">#REF!</definedName>
    <definedName name="生产期1" localSheetId="11">#REF!</definedName>
    <definedName name="生产期1">#REF!</definedName>
    <definedName name="生产期11" localSheetId="6">#REF!</definedName>
    <definedName name="生产期11" localSheetId="10">#REF!</definedName>
    <definedName name="生产期11" localSheetId="20">#REF!</definedName>
    <definedName name="生产期11" localSheetId="11">#REF!</definedName>
    <definedName name="生产期11">#REF!</definedName>
    <definedName name="生产期15" localSheetId="6">#REF!</definedName>
    <definedName name="生产期15" localSheetId="10">#REF!</definedName>
    <definedName name="生产期15" localSheetId="20">#REF!</definedName>
    <definedName name="生产期15" localSheetId="11">#REF!</definedName>
    <definedName name="生产期15">#REF!</definedName>
    <definedName name="生产期16" localSheetId="6">#REF!</definedName>
    <definedName name="生产期16" localSheetId="10">#REF!</definedName>
    <definedName name="生产期16" localSheetId="20">#REF!</definedName>
    <definedName name="生产期16" localSheetId="11">#REF!</definedName>
    <definedName name="生产期16">#REF!</definedName>
    <definedName name="生产期17" localSheetId="6">#REF!</definedName>
    <definedName name="生产期17" localSheetId="10">#REF!</definedName>
    <definedName name="生产期17" localSheetId="20">#REF!</definedName>
    <definedName name="生产期17" localSheetId="11">#REF!</definedName>
    <definedName name="生产期17">#REF!</definedName>
    <definedName name="生产期19" localSheetId="6">#REF!</definedName>
    <definedName name="生产期19" localSheetId="10">#REF!</definedName>
    <definedName name="生产期19" localSheetId="20">#REF!</definedName>
    <definedName name="生产期19" localSheetId="11">#REF!</definedName>
    <definedName name="生产期19">#REF!</definedName>
    <definedName name="生产期2" localSheetId="6">#REF!</definedName>
    <definedName name="生产期2" localSheetId="10">#REF!</definedName>
    <definedName name="生产期2" localSheetId="20">#REF!</definedName>
    <definedName name="生产期2" localSheetId="11">#REF!</definedName>
    <definedName name="生产期2">#REF!</definedName>
    <definedName name="生产期20" localSheetId="6">#REF!</definedName>
    <definedName name="生产期20" localSheetId="10">#REF!</definedName>
    <definedName name="生产期20" localSheetId="20">#REF!</definedName>
    <definedName name="生产期20" localSheetId="11">#REF!</definedName>
    <definedName name="生产期20">#REF!</definedName>
    <definedName name="生产期3" localSheetId="6">#REF!</definedName>
    <definedName name="生产期3" localSheetId="10">#REF!</definedName>
    <definedName name="生产期3" localSheetId="20">#REF!</definedName>
    <definedName name="生产期3" localSheetId="11">#REF!</definedName>
    <definedName name="生产期3">#REF!</definedName>
    <definedName name="生产期4" localSheetId="6">#REF!</definedName>
    <definedName name="生产期4" localSheetId="10">#REF!</definedName>
    <definedName name="生产期4" localSheetId="20">#REF!</definedName>
    <definedName name="生产期4" localSheetId="11">#REF!</definedName>
    <definedName name="生产期4">#REF!</definedName>
    <definedName name="生产期5" localSheetId="20">#REF!</definedName>
    <definedName name="生产期5">#REF!</definedName>
    <definedName name="生产期500" localSheetId="20">#REF!</definedName>
    <definedName name="生产期500" localSheetId="11">#REF!</definedName>
    <definedName name="生产期500">#REF!</definedName>
    <definedName name="生产期6" localSheetId="6">#REF!</definedName>
    <definedName name="生产期6" localSheetId="10">#REF!</definedName>
    <definedName name="生产期6" localSheetId="20">#REF!</definedName>
    <definedName name="生产期6" localSheetId="11">#REF!</definedName>
    <definedName name="生产期6">#REF!</definedName>
    <definedName name="生产期7" localSheetId="6">#REF!</definedName>
    <definedName name="生产期7" localSheetId="10">#REF!</definedName>
    <definedName name="生产期7" localSheetId="20">#REF!</definedName>
    <definedName name="生产期7" localSheetId="11">#REF!</definedName>
    <definedName name="生产期7">#REF!</definedName>
    <definedName name="生产期8" localSheetId="6">#REF!</definedName>
    <definedName name="生产期8" localSheetId="10">#REF!</definedName>
    <definedName name="生产期8" localSheetId="20">#REF!</definedName>
    <definedName name="生产期8" localSheetId="11">#REF!</definedName>
    <definedName name="生产期8">#REF!</definedName>
    <definedName name="生产期9" localSheetId="6">#REF!</definedName>
    <definedName name="生产期9" localSheetId="10">#REF!</definedName>
    <definedName name="生产期9" localSheetId="20">#REF!</definedName>
    <definedName name="生产期9" localSheetId="11">#REF!</definedName>
    <definedName name="生产期9">#REF!</definedName>
    <definedName name="石膏板9mm" localSheetId="6">#REF!</definedName>
    <definedName name="石膏板9mm" localSheetId="10">#REF!</definedName>
    <definedName name="石膏板9mm" localSheetId="20">#REF!</definedName>
    <definedName name="石膏板9mm" localSheetId="11">#REF!</definedName>
    <definedName name="石膏板9mm">#REF!</definedName>
    <definedName name="石膏线100乘80" localSheetId="6">#REF!</definedName>
    <definedName name="石膏线100乘80" localSheetId="10">#REF!</definedName>
    <definedName name="石膏线100乘80" localSheetId="20">#REF!</definedName>
    <definedName name="石膏线100乘80" localSheetId="11">#REF!</definedName>
    <definedName name="石膏线100乘80">#REF!</definedName>
    <definedName name="石膏线安装费" localSheetId="6">#REF!</definedName>
    <definedName name="石膏线安装费" localSheetId="10">#REF!</definedName>
    <definedName name="石膏线安装费" localSheetId="20">#REF!</definedName>
    <definedName name="石膏线安装费" localSheetId="11">#REF!</definedName>
    <definedName name="石膏线安装费">#REF!</definedName>
    <definedName name="是" localSheetId="6">#REF!</definedName>
    <definedName name="是" localSheetId="10">#REF!</definedName>
    <definedName name="是" localSheetId="20">#REF!</definedName>
    <definedName name="是" localSheetId="11">#REF!</definedName>
    <definedName name="是">#REF!</definedName>
    <definedName name="是的" localSheetId="6">#REF!</definedName>
    <definedName name="是的" localSheetId="10">#REF!</definedName>
    <definedName name="是的" localSheetId="20">#REF!</definedName>
    <definedName name="是的" localSheetId="11">#REF!</definedName>
    <definedName name="是的">#REF!</definedName>
    <definedName name="是的1" localSheetId="6">#REF!</definedName>
    <definedName name="是的1" localSheetId="10">#REF!</definedName>
    <definedName name="是的1" localSheetId="20">#REF!</definedName>
    <definedName name="是的1" localSheetId="11">#REF!</definedName>
    <definedName name="是的1">#REF!</definedName>
    <definedName name="是的3" localSheetId="6">#REF!</definedName>
    <definedName name="是的3" localSheetId="10">#REF!</definedName>
    <definedName name="是的3" localSheetId="20">#REF!</definedName>
    <definedName name="是的3" localSheetId="11">#REF!</definedName>
    <definedName name="是的3">#REF!</definedName>
    <definedName name="是的的" localSheetId="6">#REF!</definedName>
    <definedName name="是的的" localSheetId="10">#REF!</definedName>
    <definedName name="是的的" localSheetId="20">#REF!</definedName>
    <definedName name="是的的" localSheetId="11">#REF!</definedName>
    <definedName name="是的的">#REF!</definedName>
    <definedName name="是的是的" localSheetId="6">#REF!</definedName>
    <definedName name="是的是的" localSheetId="10">#REF!</definedName>
    <definedName name="是的是的" localSheetId="20">#REF!</definedName>
    <definedName name="是的是的" localSheetId="11">#REF!</definedName>
    <definedName name="是的是的">#REF!</definedName>
    <definedName name="是的是的的" localSheetId="6">#REF!</definedName>
    <definedName name="是的是的的" localSheetId="10">#REF!</definedName>
    <definedName name="是的是的的" localSheetId="20">#REF!</definedName>
    <definedName name="是的是的的" localSheetId="11">#REF!</definedName>
    <definedName name="是的是的的">#REF!</definedName>
    <definedName name="是否为普通住宅" localSheetId="6">#REF!</definedName>
    <definedName name="是否为普通住宅" localSheetId="10">#REF!</definedName>
    <definedName name="是否为普通住宅" localSheetId="20">#REF!</definedName>
    <definedName name="是否为普通住宅" localSheetId="11">#REF!</definedName>
    <definedName name="是否为普通住宅">#REF!</definedName>
    <definedName name="是或否序列" localSheetId="11">#REF!</definedName>
    <definedName name="是或否序列">#REF!</definedName>
    <definedName name="室内装修价格明细" localSheetId="6">EVALUATE+#REF!</definedName>
    <definedName name="室内装修价格明细" localSheetId="10">EVALUATE+#REF!</definedName>
    <definedName name="室内装修价格明细" localSheetId="20">EVALUATE+#REF!</definedName>
    <definedName name="室内装修价格明细" localSheetId="11">EVALUATE+#REF!</definedName>
    <definedName name="室内装修价格明细">EVALUATE+#REF!</definedName>
    <definedName name="水果" localSheetId="1">#REF!</definedName>
    <definedName name="水果" localSheetId="6">#REF!</definedName>
    <definedName name="水果" localSheetId="10">#REF!</definedName>
    <definedName name="水果" localSheetId="2">#REF!</definedName>
    <definedName name="水果" localSheetId="3">#REF!</definedName>
    <definedName name="水果" localSheetId="19">#REF!</definedName>
    <definedName name="水果" localSheetId="20">#REF!</definedName>
    <definedName name="水果" localSheetId="4">#REF!</definedName>
    <definedName name="水果" localSheetId="11">#REF!</definedName>
    <definedName name="水果">#REF!</definedName>
    <definedName name="水泥砂浆找平" localSheetId="6">#REF!</definedName>
    <definedName name="水泥砂浆找平" localSheetId="10">#REF!</definedName>
    <definedName name="水泥砂浆找平" localSheetId="20">#REF!</definedName>
    <definedName name="水泥砂浆找平" localSheetId="11">#REF!</definedName>
    <definedName name="水泥砂浆找平">#REF!</definedName>
    <definedName name="速_动_资_产93" localSheetId="6">#REF!</definedName>
    <definedName name="速_动_资_产93" localSheetId="10">#REF!</definedName>
    <definedName name="速_动_资_产93">#REF!</definedName>
    <definedName name="速_动_资_产94" localSheetId="6">#REF!</definedName>
    <definedName name="速_动_资_产94" localSheetId="10">#REF!</definedName>
    <definedName name="速_动_资_产94">#REF!</definedName>
    <definedName name="速_动_资_产95" localSheetId="6">#REF!</definedName>
    <definedName name="速_动_资_产95" localSheetId="10">#REF!</definedName>
    <definedName name="速_动_资_产95">#REF!</definedName>
    <definedName name="损益类" localSheetId="6">#REF!</definedName>
    <definedName name="损益类" localSheetId="10">#REF!</definedName>
    <definedName name="损益类" localSheetId="20">#REF!</definedName>
    <definedName name="损益类" localSheetId="11">#REF!</definedName>
    <definedName name="损益类">#REF!</definedName>
    <definedName name="所有者权益" localSheetId="6">#REF!</definedName>
    <definedName name="所有者权益" localSheetId="10">#REF!</definedName>
    <definedName name="所有者权益" localSheetId="20">#REF!</definedName>
    <definedName name="所有者权益" localSheetId="11">#REF!</definedName>
    <definedName name="所有者权益">#REF!</definedName>
    <definedName name="陶粒" localSheetId="6">#REF!</definedName>
    <definedName name="陶粒" localSheetId="10">#REF!</definedName>
    <definedName name="陶粒" localSheetId="20">#REF!</definedName>
    <definedName name="陶粒" localSheetId="11">#REF!</definedName>
    <definedName name="陶粒">#REF!</definedName>
    <definedName name="天花窗帘盒人工" localSheetId="6">#REF!</definedName>
    <definedName name="天花窗帘盒人工" localSheetId="10">#REF!</definedName>
    <definedName name="天花窗帘盒人工" localSheetId="20">#REF!</definedName>
    <definedName name="天花窗帘盒人工" localSheetId="11">#REF!</definedName>
    <definedName name="天花窗帘盒人工">#REF!</definedName>
    <definedName name="天花灯槽" localSheetId="6">#REF!</definedName>
    <definedName name="天花灯槽" localSheetId="10">#REF!</definedName>
    <definedName name="天花灯槽" localSheetId="20">#REF!</definedName>
    <definedName name="天花灯槽" localSheetId="11">#REF!</definedName>
    <definedName name="天花灯槽">#REF!</definedName>
    <definedName name="天花石膏线C1_450A" localSheetId="6">#REF!</definedName>
    <definedName name="天花石膏线C1_450A" localSheetId="10">#REF!</definedName>
    <definedName name="天花石膏线C1_450A" localSheetId="20">#REF!</definedName>
    <definedName name="天花石膏线C1_450A" localSheetId="11">#REF!</definedName>
    <definedName name="天花石膏线C1_450A">#REF!</definedName>
    <definedName name="天花石膏线C1_450B" localSheetId="6">#REF!</definedName>
    <definedName name="天花石膏线C1_450B" localSheetId="10">#REF!</definedName>
    <definedName name="天花石膏线C1_450B" localSheetId="20">#REF!</definedName>
    <definedName name="天花石膏线C1_450B" localSheetId="11">#REF!</definedName>
    <definedName name="天花石膏线C1_450B">#REF!</definedName>
    <definedName name="天津" localSheetId="6">#REF!</definedName>
    <definedName name="天津" localSheetId="10">#REF!</definedName>
    <definedName name="天津" localSheetId="20">#REF!</definedName>
    <definedName name="天津" localSheetId="11">#REF!</definedName>
    <definedName name="天津">#REF!</definedName>
    <definedName name="通用审计底稿" localSheetId="6">#REF!</definedName>
    <definedName name="通用审计底稿" localSheetId="10">#REF!</definedName>
    <definedName name="通用审计底稿" localSheetId="20">#REF!</definedName>
    <definedName name="通用审计底稿" localSheetId="11">#REF!</definedName>
    <definedName name="通用审计底稿">#REF!</definedName>
    <definedName name="同" localSheetId="6">#REF!</definedName>
    <definedName name="同" localSheetId="10">#REF!</definedName>
    <definedName name="同" localSheetId="20">#REF!</definedName>
    <definedName name="同" localSheetId="11">#REF!</definedName>
    <definedName name="同">#REF!</definedName>
    <definedName name="同一条鱼" localSheetId="6">#REF!</definedName>
    <definedName name="同一条鱼" localSheetId="10">#REF!</definedName>
    <definedName name="同一条鱼" localSheetId="20">#REF!</definedName>
    <definedName name="同一条鱼" localSheetId="11">#REF!</definedName>
    <definedName name="同一条鱼">#REF!</definedName>
    <definedName name="同一条鱼1" localSheetId="6">#REF!</definedName>
    <definedName name="同一条鱼1" localSheetId="10">#REF!</definedName>
    <definedName name="同一条鱼1" localSheetId="20">#REF!</definedName>
    <definedName name="同一条鱼1" localSheetId="11">#REF!</definedName>
    <definedName name="同一条鱼1">#REF!</definedName>
    <definedName name="同一条鱼2" localSheetId="6">#REF!</definedName>
    <definedName name="同一条鱼2" localSheetId="10">#REF!</definedName>
    <definedName name="同一条鱼2" localSheetId="20">#REF!</definedName>
    <definedName name="同一条鱼2" localSheetId="11">#REF!</definedName>
    <definedName name="同一条鱼2">#REF!</definedName>
    <definedName name="同一条鱼3" localSheetId="6">#REF!</definedName>
    <definedName name="同一条鱼3" localSheetId="10">#REF!</definedName>
    <definedName name="同一条鱼3" localSheetId="20">#REF!</definedName>
    <definedName name="同一条鱼3" localSheetId="11">#REF!</definedName>
    <definedName name="同一条鱼3">#REF!</definedName>
    <definedName name="同一条鱼4" localSheetId="6">#REF!</definedName>
    <definedName name="同一条鱼4" localSheetId="10">#REF!</definedName>
    <definedName name="同一条鱼4" localSheetId="20">#REF!</definedName>
    <definedName name="同一条鱼4" localSheetId="11">#REF!</definedName>
    <definedName name="同一条鱼4">#REF!</definedName>
    <definedName name="投资明细20050709" localSheetId="11">#REF!</definedName>
    <definedName name="投资明细20050709">#REF!</definedName>
    <definedName name="土地" localSheetId="6">#REF!</definedName>
    <definedName name="土地" localSheetId="10">#REF!</definedName>
    <definedName name="土地" localSheetId="20">#REF!</definedName>
    <definedName name="土地" localSheetId="11">#REF!</definedName>
    <definedName name="土地">#REF!</definedName>
    <definedName name="土地成本" localSheetId="6">EVALUATE+#REF!</definedName>
    <definedName name="土地成本" localSheetId="10">EVALUATE+#REF!</definedName>
    <definedName name="土地成本" localSheetId="20">EVALUATE+#REF!</definedName>
    <definedName name="土地成本" localSheetId="11">EVALUATE+#REF!</definedName>
    <definedName name="土地成本">EVALUATE+#REF!</definedName>
    <definedName name="土地面积" localSheetId="20">#REF!</definedName>
    <definedName name="土地面积" localSheetId="11">#REF!</definedName>
    <definedName name="土地面积">#REF!</definedName>
    <definedName name="土地面积面积" localSheetId="20">#REF!</definedName>
    <definedName name="土地面积面积" localSheetId="11">#REF!</definedName>
    <definedName name="土地面积面积">#REF!</definedName>
    <definedName name="土地资金计划明细表" localSheetId="6">#REF!</definedName>
    <definedName name="土地资金计划明细表" localSheetId="10">#REF!</definedName>
    <definedName name="土地资金计划明细表" localSheetId="20">#REF!</definedName>
    <definedName name="土地资金计划明细表" localSheetId="11">#REF!</definedName>
    <definedName name="土地资金计划明细表">#REF!</definedName>
    <definedName name="外墙底漆" localSheetId="6">#REF!</definedName>
    <definedName name="外墙底漆" localSheetId="10">#REF!</definedName>
    <definedName name="外墙底漆" localSheetId="20">#REF!</definedName>
    <definedName name="外墙底漆" localSheetId="11">#REF!</definedName>
    <definedName name="外墙底漆">#REF!</definedName>
    <definedName name="外墙面漆" localSheetId="6">#REF!</definedName>
    <definedName name="外墙面漆" localSheetId="10">#REF!</definedName>
    <definedName name="外墙面漆" localSheetId="20">#REF!</definedName>
    <definedName name="外墙面漆" localSheetId="11">#REF!</definedName>
    <definedName name="外墙面漆">#REF!</definedName>
    <definedName name="外墙腻子" localSheetId="6">#REF!</definedName>
    <definedName name="外墙腻子" localSheetId="10">#REF!</definedName>
    <definedName name="外墙腻子" localSheetId="20">#REF!</definedName>
    <definedName name="外墙腻子" localSheetId="11">#REF!</definedName>
    <definedName name="外墙腻子">#REF!</definedName>
    <definedName name="卫生间陶粒回填" localSheetId="6">#REF!</definedName>
    <definedName name="卫生间陶粒回填" localSheetId="10">#REF!</definedName>
    <definedName name="卫生间陶粒回填" localSheetId="20">#REF!</definedName>
    <definedName name="卫生间陶粒回填" localSheetId="11">#REF!</definedName>
    <definedName name="卫生间陶粒回填">#REF!</definedName>
    <definedName name="未结转信息索引" localSheetId="11">INDIRECT(ADDRESS(#REF!,COLUMN(),,,#REF!))</definedName>
    <definedName name="未结转信息索引">INDIRECT(ADDRESS(#REF!,COLUMN(),,,#REF!))</definedName>
    <definedName name="我" localSheetId="6">#REF!</definedName>
    <definedName name="我" localSheetId="10">#REF!</definedName>
    <definedName name="我" localSheetId="20">#REF!</definedName>
    <definedName name="我" localSheetId="11">#REF!</definedName>
    <definedName name="我">#REF!</definedName>
    <definedName name="我的" localSheetId="6">#REF!</definedName>
    <definedName name="我的" localSheetId="10">#REF!</definedName>
    <definedName name="我的" localSheetId="20">#REF!</definedName>
    <definedName name="我的" localSheetId="11">#REF!</definedName>
    <definedName name="我的">#REF!</definedName>
    <definedName name="我的1" localSheetId="6">#REF!</definedName>
    <definedName name="我的1" localSheetId="10">#REF!</definedName>
    <definedName name="我的1" localSheetId="20">#REF!</definedName>
    <definedName name="我的1" localSheetId="11">#REF!</definedName>
    <definedName name="我的1">#REF!</definedName>
    <definedName name="我的2" localSheetId="6">#REF!</definedName>
    <definedName name="我的2" localSheetId="10">#REF!</definedName>
    <definedName name="我的2" localSheetId="20">#REF!</definedName>
    <definedName name="我的2" localSheetId="11">#REF!</definedName>
    <definedName name="我的2">#REF!</definedName>
    <definedName name="我的3" localSheetId="6">#REF!</definedName>
    <definedName name="我的3" localSheetId="10">#REF!</definedName>
    <definedName name="我的3" localSheetId="20">#REF!</definedName>
    <definedName name="我的3" localSheetId="11">#REF!</definedName>
    <definedName name="我的3">#REF!</definedName>
    <definedName name="我的我" localSheetId="6">#REF!</definedName>
    <definedName name="我的我" localSheetId="10">#REF!</definedName>
    <definedName name="我的我" localSheetId="20">#REF!</definedName>
    <definedName name="我的我" localSheetId="11">#REF!</definedName>
    <definedName name="我的我">#REF!</definedName>
    <definedName name="我的我的" localSheetId="6">#REF!</definedName>
    <definedName name="我的我的" localSheetId="10">#REF!</definedName>
    <definedName name="我的我的" localSheetId="20">#REF!</definedName>
    <definedName name="我的我的" localSheetId="11">#REF!</definedName>
    <definedName name="我的我的">#REF!</definedName>
    <definedName name="我的我的2" localSheetId="6">#REF!</definedName>
    <definedName name="我的我的2" localSheetId="10">#REF!</definedName>
    <definedName name="我的我的2" localSheetId="20">#REF!</definedName>
    <definedName name="我的我的2" localSheetId="11">#REF!</definedName>
    <definedName name="我的我的2">#REF!</definedName>
    <definedName name="无形资产" localSheetId="6">#REF!</definedName>
    <definedName name="无形资产" localSheetId="10">#REF!</definedName>
    <definedName name="无形资产" localSheetId="20">#REF!</definedName>
    <definedName name="无形资产" localSheetId="11">#REF!</definedName>
    <definedName name="无形资产">#REF!</definedName>
    <definedName name="物管用房" localSheetId="11">#REF!</definedName>
    <definedName name="物管用房">#REF!</definedName>
    <definedName name="物品编号" localSheetId="11">#REF!</definedName>
    <definedName name="物品编号">#REF!</definedName>
    <definedName name="物品编号1" localSheetId="11">#REF!</definedName>
    <definedName name="物品编号1">#REF!</definedName>
    <definedName name="物品编号2" localSheetId="11">#REF!</definedName>
    <definedName name="物品编号2">#REF!</definedName>
    <definedName name="物品编号3" localSheetId="11">#REF!</definedName>
    <definedName name="物品编号3">#REF!</definedName>
    <definedName name="物品编号4" localSheetId="11">#REF!</definedName>
    <definedName name="物品编号4">#REF!</definedName>
    <definedName name="闲置状态" localSheetId="11">#REF!</definedName>
    <definedName name="闲置状态">#REF!</definedName>
    <definedName name="闲置状态1" localSheetId="11">#REF!</definedName>
    <definedName name="闲置状态1">#REF!</definedName>
    <definedName name="闲置状态2" localSheetId="11">#REF!</definedName>
    <definedName name="闲置状态2">#REF!</definedName>
    <definedName name="闲置状态3" localSheetId="11">#REF!</definedName>
    <definedName name="闲置状态3">#REF!</definedName>
    <definedName name="闲置状态4" localSheetId="11">#REF!</definedName>
    <definedName name="闲置状态4">#REF!</definedName>
    <definedName name="现金流量表" localSheetId="6">#REF!</definedName>
    <definedName name="现金流量表" localSheetId="10">#REF!</definedName>
    <definedName name="现金流量表" localSheetId="20">#REF!</definedName>
    <definedName name="现金流量表" localSheetId="11">#REF!</definedName>
    <definedName name="现金流量表">#REF!</definedName>
    <definedName name="香醍" hidden="1">{#N/A,#N/A,FALSE,"Aging Summary";#N/A,#N/A,FALSE,"Ratio Analysis";#N/A,#N/A,FALSE,"Test 120 Day Accts";#N/A,#N/A,FALSE,"Tickmarks"}</definedName>
    <definedName name="项目" localSheetId="20">#REF!</definedName>
    <definedName name="项目" localSheetId="11">#REF!</definedName>
    <definedName name="项目">#REF!</definedName>
    <definedName name="项目​​" localSheetId="1">#REF!</definedName>
    <definedName name="项目​​" localSheetId="6">#REF!</definedName>
    <definedName name="项目​​" localSheetId="10">#REF!</definedName>
    <definedName name="项目​​" localSheetId="2">#REF!</definedName>
    <definedName name="项目​​" localSheetId="3">#REF!</definedName>
    <definedName name="项目​​" localSheetId="19">#REF!</definedName>
    <definedName name="项目​​" localSheetId="20">#REF!</definedName>
    <definedName name="项目​​" localSheetId="4">#REF!</definedName>
    <definedName name="项目​​" localSheetId="11">#REF!</definedName>
    <definedName name="项目​​">#REF!</definedName>
    <definedName name="项目成本索引" localSheetId="11">INDIRECT(ADDRESS(#REF!,#REF!,,,#REF!))</definedName>
    <definedName name="项目成本索引">INDIRECT(ADDRESS(#REF!,#REF!,,,#REF!))</definedName>
    <definedName name="项目单价" localSheetId="6">#REF!</definedName>
    <definedName name="项目单价" localSheetId="10">#REF!</definedName>
    <definedName name="项目单价" localSheetId="20">#REF!</definedName>
    <definedName name="项目单价" localSheetId="11">#REF!</definedName>
    <definedName name="项目单价">#REF!</definedName>
    <definedName name="项目签约2009" localSheetId="11">SUMIF(#REF!,#REF!&amp;#REF!,#REF!)</definedName>
    <definedName name="项目签约2009">SUMIF(#REF!,#REF!&amp;#REF!,#REF!)</definedName>
    <definedName name="项目签约2010" localSheetId="11">SUMIF(#REF!,#REF!&amp;#REF!,#REF!)</definedName>
    <definedName name="项目签约2010">SUMIF(#REF!,#REF!&amp;#REF!,#REF!)</definedName>
    <definedName name="项目签约2010年9月末" localSheetId="11">SUMIF(#REF!,#REF!&amp;#REF!,#REF!)</definedName>
    <definedName name="项目签约2010年9月末">SUMIF(#REF!,#REF!&amp;#REF!,#REF!)</definedName>
    <definedName name="项目签约2011" localSheetId="11">SUMIF(#REF!,#REF!&amp;#REF!,#REF!)</definedName>
    <definedName name="项目签约2011">SUMIF(#REF!,#REF!&amp;#REF!,#REF!)</definedName>
    <definedName name="项目签约2011年上半年" localSheetId="11">SUMIF(#REF!,#REF!&amp;#REF!,#REF!)</definedName>
    <definedName name="项目签约2011年上半年">SUMIF(#REF!,#REF!&amp;#REF!,#REF!)</definedName>
    <definedName name="项目签约2012" localSheetId="11">SUMIF(#REF!,#REF!&amp;#REF!,#REF!)</definedName>
    <definedName name="项目签约2012">SUMIF(#REF!,#REF!&amp;#REF!,#REF!)</definedName>
    <definedName name="项目签约2012年上半年" localSheetId="11">SUMIF(#REF!,#REF!&amp;#REF!,#REF!)</definedName>
    <definedName name="项目签约2012年上半年">SUMIF(#REF!,#REF!&amp;#REF!,#REF!)</definedName>
    <definedName name="项目签约2013" localSheetId="11">SUMIF(#REF!,#REF!&amp;#REF!,#REF!)</definedName>
    <definedName name="项目签约2013">SUMIF(#REF!,#REF!&amp;#REF!,#REF!)</definedName>
    <definedName name="项目签约2013年上半年" localSheetId="11">SUMIF(#REF!,#REF!&amp;#REF!,#REF!)</definedName>
    <definedName name="项目签约2013年上半年">SUMIF(#REF!,#REF!&amp;#REF!,#REF!)</definedName>
    <definedName name="项目总用地面积" localSheetId="11">#REF!</definedName>
    <definedName name="项目总用地面积">#REF!</definedName>
    <definedName name="新" localSheetId="6">#REF!</definedName>
    <definedName name="新" localSheetId="10">#REF!</definedName>
    <definedName name="新" localSheetId="19">#REF!</definedName>
    <definedName name="新" localSheetId="20">#REF!</definedName>
    <definedName name="新" localSheetId="11">#REF!</definedName>
    <definedName name="新">#REF!</definedName>
    <definedName name="新1" localSheetId="6">#REF!</definedName>
    <definedName name="新1" localSheetId="10">#REF!</definedName>
    <definedName name="新1" localSheetId="19">#REF!</definedName>
    <definedName name="新1" localSheetId="20">#REF!</definedName>
    <definedName name="新1" localSheetId="11">#REF!</definedName>
    <definedName name="新1">#REF!</definedName>
    <definedName name="新2" localSheetId="6">#REF!</definedName>
    <definedName name="新2" localSheetId="10">#REF!</definedName>
    <definedName name="新2" localSheetId="19">#REF!</definedName>
    <definedName name="新2" localSheetId="20">#REF!</definedName>
    <definedName name="新2" localSheetId="11">#REF!</definedName>
    <definedName name="新2">#REF!</definedName>
    <definedName name="新3" localSheetId="6">#REF!</definedName>
    <definedName name="新3" localSheetId="10">#REF!</definedName>
    <definedName name="新3" localSheetId="19">#REF!</definedName>
    <definedName name="新3" localSheetId="20">#REF!</definedName>
    <definedName name="新3" localSheetId="11">#REF!</definedName>
    <definedName name="新3">#REF!</definedName>
    <definedName name="新雅米黄石地面" localSheetId="6">#REF!</definedName>
    <definedName name="新雅米黄石地面" localSheetId="10">#REF!</definedName>
    <definedName name="新雅米黄石地面" localSheetId="20">#REF!</definedName>
    <definedName name="新雅米黄石地面" localSheetId="11">#REF!</definedName>
    <definedName name="新雅米黄石地面">#REF!</definedName>
    <definedName name="新雅米黄石墙面" localSheetId="6">#REF!</definedName>
    <definedName name="新雅米黄石墙面" localSheetId="10">#REF!</definedName>
    <definedName name="新雅米黄石墙面" localSheetId="20">#REF!</definedName>
    <definedName name="新雅米黄石墙面" localSheetId="11">#REF!</definedName>
    <definedName name="新雅米黄石墙面">#REF!</definedName>
    <definedName name="行政汇总" localSheetId="11">#REF!</definedName>
    <definedName name="行政汇总">#REF!</definedName>
    <definedName name="兴龙湖培训计划" hidden="1">{#N/A,#N/A,FALSE,"Aging Summary";#N/A,#N/A,FALSE,"Ratio Analysis";#N/A,#N/A,FALSE,"Test 120 Day Accts";#N/A,#N/A,FALSE,"Tickmarks"}</definedName>
    <definedName name="学校" localSheetId="11">#REF!</definedName>
    <definedName name="学校">#REF!</definedName>
    <definedName name="腌00" localSheetId="6">#REF!</definedName>
    <definedName name="腌00" localSheetId="10">#REF!</definedName>
    <definedName name="腌00" localSheetId="20">#REF!</definedName>
    <definedName name="腌00" localSheetId="11">#REF!</definedName>
    <definedName name="腌00">#REF!</definedName>
    <definedName name="延伸知识" localSheetId="1">#REF!</definedName>
    <definedName name="延伸知识" localSheetId="6">#REF!</definedName>
    <definedName name="延伸知识" localSheetId="10">#REF!</definedName>
    <definedName name="延伸知识" localSheetId="2">#REF!</definedName>
    <definedName name="延伸知识" localSheetId="3">#REF!</definedName>
    <definedName name="延伸知识" localSheetId="19">#REF!</definedName>
    <definedName name="延伸知识" localSheetId="20">#REF!</definedName>
    <definedName name="延伸知识" localSheetId="4">#REF!</definedName>
    <definedName name="延伸知识" localSheetId="11">#REF!</definedName>
    <definedName name="延伸知识">#REF!</definedName>
    <definedName name="滟澜山1" hidden="1">{#N/A,#N/A,FALSE,"Aging Summary";#N/A,#N/A,FALSE,"Ratio Analysis";#N/A,#N/A,FALSE,"Test 120 Day Accts";#N/A,#N/A,FALSE,"Tickmarks"}</definedName>
    <definedName name="业务类" localSheetId="6">#REF!</definedName>
    <definedName name="业务类" localSheetId="10">#REF!</definedName>
    <definedName name="业务类" localSheetId="20">#REF!</definedName>
    <definedName name="业务类" localSheetId="11">#REF!</definedName>
    <definedName name="业务类">#REF!</definedName>
    <definedName name="银行存款" localSheetId="20">#REF!</definedName>
    <definedName name="银行存款" localSheetId="11">#REF!</definedName>
    <definedName name="银行存款">#REF!</definedName>
    <definedName name="应付债券审定表" localSheetId="6">#REF!</definedName>
    <definedName name="应付债券审定表" localSheetId="10">#REF!</definedName>
    <definedName name="应付债券审定表" localSheetId="20">#REF!</definedName>
    <definedName name="应付债券审定表" localSheetId="11">#REF!</definedName>
    <definedName name="应付债券审定表">#REF!</definedName>
    <definedName name="应收帐款93期初" localSheetId="6">#REF!</definedName>
    <definedName name="应收帐款93期初" localSheetId="10">#REF!</definedName>
    <definedName name="应收帐款93期初">#REF!</definedName>
    <definedName name="应收帐款93期末" localSheetId="6">#REF!</definedName>
    <definedName name="应收帐款93期末" localSheetId="10">#REF!</definedName>
    <definedName name="应收帐款93期末">#REF!</definedName>
    <definedName name="应收帐款94期初" localSheetId="6">#REF!</definedName>
    <definedName name="应收帐款94期初" localSheetId="10">#REF!</definedName>
    <definedName name="应收帐款94期初">#REF!</definedName>
    <definedName name="应收帐款94期末" localSheetId="6">#REF!</definedName>
    <definedName name="应收帐款94期末" localSheetId="10">#REF!</definedName>
    <definedName name="应收帐款94期末">#REF!</definedName>
    <definedName name="应收帐款95期初" localSheetId="6">#REF!</definedName>
    <definedName name="应收帐款95期初" localSheetId="10">#REF!</definedName>
    <definedName name="应收帐款95期初">#REF!</definedName>
    <definedName name="应收帐款95期末" localSheetId="6">#REF!</definedName>
    <definedName name="应收帐款95期末" localSheetId="10">#REF!</definedName>
    <definedName name="应收帐款95期末">#REF!</definedName>
    <definedName name="用电容量" localSheetId="11">#REF!</definedName>
    <definedName name="用电容量">#REF!</definedName>
    <definedName name="幼儿园" localSheetId="11">#REF!</definedName>
    <definedName name="幼儿园">#REF!</definedName>
    <definedName name="预付" localSheetId="6">#REF!</definedName>
    <definedName name="预付" localSheetId="10">#REF!</definedName>
    <definedName name="预付" localSheetId="20">#REF!</definedName>
    <definedName name="预付" localSheetId="11">#REF!</definedName>
    <definedName name="预付">#REF!</definedName>
    <definedName name="月度支出实际本年数据" localSheetId="6">#REF!</definedName>
    <definedName name="月度支出实际本年数据" localSheetId="10">#REF!</definedName>
    <definedName name="月度支出实际本年数据" localSheetId="20">#REF!</definedName>
    <definedName name="月度支出实际本年数据" localSheetId="11">#REF!</definedName>
    <definedName name="月度支出实际本年数据">#REF!</definedName>
    <definedName name="月度支出预算本年数据" localSheetId="6">#REF!</definedName>
    <definedName name="月度支出预算本年数据" localSheetId="10">#REF!</definedName>
    <definedName name="月度支出预算本年数据" localSheetId="20">#REF!</definedName>
    <definedName name="月度支出预算本年数据" localSheetId="11">#REF!</definedName>
    <definedName name="月度支出预算本年数据">#REF!</definedName>
    <definedName name="运输费" localSheetId="6">#REF!</definedName>
    <definedName name="运输费" localSheetId="10">#REF!</definedName>
    <definedName name="运输费" localSheetId="20">#REF!</definedName>
    <definedName name="运输费" localSheetId="11">#REF!</definedName>
    <definedName name="运输费">#REF!</definedName>
    <definedName name="杂费" localSheetId="6">#REF!</definedName>
    <definedName name="杂费" localSheetId="10">#REF!</definedName>
    <definedName name="杂费" localSheetId="20">#REF!</definedName>
    <definedName name="杂费" localSheetId="11">#REF!</definedName>
    <definedName name="杂费">#REF!</definedName>
    <definedName name="长期负债" localSheetId="6">#REF!</definedName>
    <definedName name="长期负债" localSheetId="10">#REF!</definedName>
    <definedName name="长期负债" localSheetId="20">#REF!</definedName>
    <definedName name="长期负债" localSheetId="11">#REF!</definedName>
    <definedName name="长期负债">#REF!</definedName>
    <definedName name="长期投资" localSheetId="6">#REF!</definedName>
    <definedName name="长期投资" localSheetId="10">#REF!</definedName>
    <definedName name="长期投资" localSheetId="20">#REF!</definedName>
    <definedName name="长期投资" localSheetId="11">#REF!</definedName>
    <definedName name="长期投资">#REF!</definedName>
    <definedName name="招聘计划2" hidden="1">{#N/A,#N/A,FALSE,"Aging Summary";#N/A,#N/A,FALSE,"Ratio Analysis";#N/A,#N/A,FALSE,"Test 120 Day Accts";#N/A,#N/A,FALSE,"Tickmarks"}</definedName>
    <definedName name="折旧" localSheetId="11">#REF!</definedName>
    <definedName name="折旧">#REF!</definedName>
    <definedName name="折旧1" localSheetId="11">#REF!</definedName>
    <definedName name="折旧1">#REF!</definedName>
    <definedName name="折旧2" localSheetId="11">#REF!</definedName>
    <definedName name="折旧2">#REF!</definedName>
    <definedName name="折旧3" localSheetId="11">#REF!</definedName>
    <definedName name="折旧3">#REF!</definedName>
    <definedName name="折旧4" localSheetId="11">#REF!</definedName>
    <definedName name="折旧4">#REF!</definedName>
    <definedName name="真石马赛克" localSheetId="6">#REF!</definedName>
    <definedName name="真石马赛克" localSheetId="10">#REF!</definedName>
    <definedName name="真石马赛克" localSheetId="20">#REF!</definedName>
    <definedName name="真石马赛克" localSheetId="11">#REF!</definedName>
    <definedName name="真石马赛克">#REF!</definedName>
    <definedName name="中" localSheetId="6">#REF!</definedName>
    <definedName name="中" localSheetId="10">#REF!</definedName>
    <definedName name="中" localSheetId="20">#REF!</definedName>
    <definedName name="中" localSheetId="11">#REF!</definedName>
    <definedName name="中">#REF!</definedName>
    <definedName name="中信金资现金流量表_中间级">目录!$B$21</definedName>
    <definedName name="周界长度" localSheetId="11">#REF!</definedName>
    <definedName name="周界长度">#REF!</definedName>
    <definedName name="主卫地面拼花" localSheetId="6">#REF!</definedName>
    <definedName name="主卫地面拼花" localSheetId="10">#REF!</definedName>
    <definedName name="主卫地面拼花" localSheetId="20">#REF!</definedName>
    <definedName name="主卫地面拼花" localSheetId="11">#REF!</definedName>
    <definedName name="主卫地面拼花">#REF!</definedName>
    <definedName name="住宅" localSheetId="6">#REF!</definedName>
    <definedName name="住宅" localSheetId="10">#REF!</definedName>
    <definedName name="住宅" localSheetId="20">#REF!</definedName>
    <definedName name="住宅" localSheetId="11">#REF!</definedName>
    <definedName name="住宅">#REF!</definedName>
    <definedName name="资产购置费用" localSheetId="6">#REF!</definedName>
    <definedName name="资产购置费用" localSheetId="10">#REF!</definedName>
    <definedName name="资产购置费用" localSheetId="20">#REF!</definedName>
    <definedName name="资产购置费用" localSheetId="11">#REF!</definedName>
    <definedName name="资产购置费用">#REF!</definedName>
    <definedName name="资产合计93期初" localSheetId="6">#REF!</definedName>
    <definedName name="资产合计93期初" localSheetId="10">#REF!</definedName>
    <definedName name="资产合计93期初">#REF!</definedName>
    <definedName name="资产合计93期末" localSheetId="6">#REF!</definedName>
    <definedName name="资产合计93期末" localSheetId="10">#REF!</definedName>
    <definedName name="资产合计93期末">#REF!</definedName>
    <definedName name="资产合计94期初" localSheetId="6">#REF!</definedName>
    <definedName name="资产合计94期初" localSheetId="10">#REF!</definedName>
    <definedName name="资产合计94期初">#REF!</definedName>
    <definedName name="资产合计94期末" localSheetId="6">#REF!</definedName>
    <definedName name="资产合计94期末" localSheetId="10">#REF!</definedName>
    <definedName name="资产合计94期末">#REF!</definedName>
    <definedName name="资产合计95期初" localSheetId="6">#REF!</definedName>
    <definedName name="资产合计95期初" localSheetId="10">#REF!</definedName>
    <definedName name="资产合计95期初">#REF!</definedName>
    <definedName name="资产合计95期末" localSheetId="6">#REF!</definedName>
    <definedName name="资产合计95期末" localSheetId="10">#REF!</definedName>
    <definedName name="资产合计95期末">#REF!</definedName>
    <definedName name="资金平衡表" localSheetId="6">#REF!</definedName>
    <definedName name="资金平衡表" localSheetId="10">#REF!</definedName>
    <definedName name="资金平衡表" localSheetId="20">#REF!</definedName>
    <definedName name="资金平衡表" localSheetId="11">#REF!</definedName>
    <definedName name="资金平衡表">#REF!</definedName>
    <definedName name="紫檀木镜框实木线120乘50" localSheetId="6">#REF!</definedName>
    <definedName name="紫檀木镜框实木线120乘50" localSheetId="10">#REF!</definedName>
    <definedName name="紫檀木镜框实木线120乘50" localSheetId="20">#REF!</definedName>
    <definedName name="紫檀木镜框实木线120乘50" localSheetId="11">#REF!</definedName>
    <definedName name="紫檀木镜框实木线120乘50">#REF!</definedName>
    <definedName name="紫檀木镜框实木线60乘25" localSheetId="6">#REF!</definedName>
    <definedName name="紫檀木镜框实木线60乘25" localSheetId="10">#REF!</definedName>
    <definedName name="紫檀木镜框实木线60乘25" localSheetId="20">#REF!</definedName>
    <definedName name="紫檀木镜框实木线60乘25" localSheetId="11">#REF!</definedName>
    <definedName name="紫檀木镜框实木线60乘25">#REF!</definedName>
    <definedName name="紫檀木实木线框安装人工" localSheetId="6">#REF!</definedName>
    <definedName name="紫檀木实木线框安装人工" localSheetId="10">#REF!</definedName>
    <definedName name="紫檀木实木线框安装人工" localSheetId="20">#REF!</definedName>
    <definedName name="紫檀木实木线框安装人工" localSheetId="11">#REF!</definedName>
    <definedName name="紫檀木实木线框安装人工">#REF!</definedName>
    <definedName name="总分类账" localSheetId="6">#REF!</definedName>
    <definedName name="总分类账" localSheetId="10">#REF!</definedName>
    <definedName name="总分类账" localSheetId="20">#REF!</definedName>
    <definedName name="总分类账" localSheetId="11">#REF!</definedName>
    <definedName name="总分类账">#REF!</definedName>
    <definedName name="总计" localSheetId="1">#REF!</definedName>
    <definedName name="总计" localSheetId="6">#REF!</definedName>
    <definedName name="总计" localSheetId="10">#REF!</definedName>
    <definedName name="总计" localSheetId="2">#REF!</definedName>
    <definedName name="总计" localSheetId="3">#REF!</definedName>
    <definedName name="总计" localSheetId="19">#REF!</definedName>
    <definedName name="总计" localSheetId="20">#REF!</definedName>
    <definedName name="总计" localSheetId="4">#REF!</definedName>
    <definedName name="总计" localSheetId="11">#REF!</definedName>
    <definedName name="总计">#REF!</definedName>
    <definedName name="总建筑面积" localSheetId="20">#REF!</definedName>
    <definedName name="总建筑面积" localSheetId="11">#REF!</definedName>
    <definedName name="总建筑面积">#REF!</definedName>
    <definedName name="最后修订日期" localSheetId="11">#REF!</definedName>
    <definedName name="最后修订日期">#REF!</definedName>
    <definedName name="전" localSheetId="6">#REF!</definedName>
    <definedName name="전" localSheetId="10">#REF!</definedName>
    <definedName name="전" localSheetId="20">#REF!</definedName>
    <definedName name="전" localSheetId="11">#REF!</definedName>
    <definedName name="전">#REF!</definedName>
    <definedName name="주택사업본부" localSheetId="6">#REF!</definedName>
    <definedName name="주택사업본부" localSheetId="10">#REF!</definedName>
    <definedName name="주택사업본부" localSheetId="20">#REF!</definedName>
    <definedName name="주택사업본부" localSheetId="11">#REF!</definedName>
    <definedName name="주택사업본부">#REF!</definedName>
    <definedName name="철구사업본부" localSheetId="6">#REF!</definedName>
    <definedName name="철구사업본부" localSheetId="10">#REF!</definedName>
    <definedName name="철구사업본부" localSheetId="20">#REF!</definedName>
    <definedName name="철구사업본부" localSheetId="11">#REF!</definedName>
    <definedName name="철구사업본부">#REF!</definedName>
  </definedNames>
  <calcPr calcId="162913" iterate="1" iterateCount="100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93" l="1"/>
  <c r="N15" i="93"/>
  <c r="N14" i="93"/>
  <c r="D62" i="110"/>
  <c r="D74" i="110" s="1"/>
  <c r="D37" i="110"/>
  <c r="E22" i="50"/>
  <c r="D76" i="110"/>
  <c r="D51" i="110"/>
  <c r="N16" i="93" l="1"/>
  <c r="F9" i="101"/>
  <c r="D49" i="110"/>
  <c r="D11" i="107"/>
  <c r="C13" i="107"/>
  <c r="G27" i="100" l="1"/>
  <c r="E14" i="110"/>
  <c r="N6" i="110"/>
  <c r="O6" i="110"/>
  <c r="P6" i="110"/>
  <c r="Q6" i="110"/>
  <c r="R6" i="110"/>
  <c r="S6" i="110"/>
  <c r="T6" i="110"/>
  <c r="U6" i="110"/>
  <c r="V6" i="110"/>
  <c r="W6" i="110"/>
  <c r="E6" i="110"/>
  <c r="D19" i="110"/>
  <c r="D18" i="110"/>
  <c r="D17" i="110"/>
  <c r="E15" i="110"/>
  <c r="D10" i="110"/>
  <c r="D7" i="110"/>
  <c r="E5" i="102"/>
  <c r="D18" i="50"/>
  <c r="E13" i="110" l="1"/>
  <c r="E15" i="103"/>
  <c r="G19" i="50" l="1"/>
  <c r="H19" i="50"/>
  <c r="I19" i="50"/>
  <c r="J19" i="50"/>
  <c r="K19" i="50"/>
  <c r="L19" i="50"/>
  <c r="M19" i="50"/>
  <c r="D13" i="50"/>
  <c r="D18" i="108" l="1"/>
  <c r="P19" i="100"/>
  <c r="K19" i="100"/>
  <c r="K24" i="100" s="1"/>
  <c r="J19" i="100"/>
  <c r="I19" i="100"/>
  <c r="I24" i="100" s="1"/>
  <c r="H19" i="100"/>
  <c r="I57" i="100"/>
  <c r="I58" i="100"/>
  <c r="I56" i="100"/>
  <c r="G20" i="95"/>
  <c r="G19" i="95"/>
  <c r="G18" i="95"/>
  <c r="Z75" i="100"/>
  <c r="Z73" i="100"/>
  <c r="Z71" i="100"/>
  <c r="G74" i="100"/>
  <c r="H74" i="100" s="1"/>
  <c r="I74" i="100" s="1"/>
  <c r="J74" i="100" s="1"/>
  <c r="K74" i="100" s="1"/>
  <c r="L74" i="100" s="1"/>
  <c r="M74" i="100" s="1"/>
  <c r="N74" i="100" s="1"/>
  <c r="O74" i="100" s="1"/>
  <c r="P74" i="100" s="1"/>
  <c r="Q74" i="100" s="1"/>
  <c r="R74" i="100" s="1"/>
  <c r="S74" i="100" s="1"/>
  <c r="T74" i="100" s="1"/>
  <c r="U74" i="100" s="1"/>
  <c r="V74" i="100" s="1"/>
  <c r="W74" i="100" s="1"/>
  <c r="X74" i="100" s="1"/>
  <c r="Y74" i="100" s="1"/>
  <c r="Z74" i="100" s="1"/>
  <c r="G72" i="100"/>
  <c r="H72" i="100" s="1"/>
  <c r="I72" i="100" s="1"/>
  <c r="J72" i="100" s="1"/>
  <c r="K72" i="100" s="1"/>
  <c r="L72" i="100" s="1"/>
  <c r="M72" i="100" s="1"/>
  <c r="N72" i="100" s="1"/>
  <c r="O72" i="100" s="1"/>
  <c r="P72" i="100" s="1"/>
  <c r="Q72" i="100" s="1"/>
  <c r="R72" i="100" s="1"/>
  <c r="S72" i="100" s="1"/>
  <c r="T72" i="100" s="1"/>
  <c r="U72" i="100" s="1"/>
  <c r="V72" i="100" s="1"/>
  <c r="W72" i="100" s="1"/>
  <c r="X72" i="100" s="1"/>
  <c r="Y72" i="100" s="1"/>
  <c r="Z72" i="100" s="1"/>
  <c r="G70" i="100"/>
  <c r="H70" i="100" s="1"/>
  <c r="I70" i="100" s="1"/>
  <c r="J70" i="100" s="1"/>
  <c r="J71" i="100" s="1"/>
  <c r="D30" i="50"/>
  <c r="D10" i="108"/>
  <c r="O19" i="108"/>
  <c r="P19" i="108"/>
  <c r="Q19" i="108"/>
  <c r="R19" i="108"/>
  <c r="S19" i="108"/>
  <c r="T19" i="108"/>
  <c r="U19" i="108"/>
  <c r="V19" i="108"/>
  <c r="W19" i="108"/>
  <c r="X19" i="108"/>
  <c r="E19" i="108"/>
  <c r="E7" i="108"/>
  <c r="S16" i="103"/>
  <c r="S12" i="103" s="1"/>
  <c r="T16" i="103"/>
  <c r="T12" i="103" s="1"/>
  <c r="U16" i="103"/>
  <c r="U12" i="103" s="1"/>
  <c r="V16" i="103"/>
  <c r="V12" i="103" s="1"/>
  <c r="W16" i="103"/>
  <c r="W12" i="103" s="1"/>
  <c r="T27" i="100"/>
  <c r="U27" i="100"/>
  <c r="V27" i="100"/>
  <c r="W27" i="100"/>
  <c r="X27" i="100"/>
  <c r="Y27" i="100"/>
  <c r="Z27" i="100"/>
  <c r="R22" i="96"/>
  <c r="L19" i="100"/>
  <c r="M19" i="100"/>
  <c r="J9" i="107" s="1"/>
  <c r="J6" i="57" s="1"/>
  <c r="J7" i="16" s="1"/>
  <c r="N19" i="100"/>
  <c r="O19" i="100"/>
  <c r="Q19" i="100"/>
  <c r="Q24" i="100" s="1"/>
  <c r="R19" i="100"/>
  <c r="S19" i="100"/>
  <c r="T19" i="100"/>
  <c r="Q9" i="107" s="1"/>
  <c r="Q6" i="57" s="1"/>
  <c r="Q7" i="16" s="1"/>
  <c r="U19" i="100"/>
  <c r="R9" i="107" s="1"/>
  <c r="R6" i="57" s="1"/>
  <c r="R7" i="16" s="1"/>
  <c r="V19" i="100"/>
  <c r="W19" i="100"/>
  <c r="X19" i="100"/>
  <c r="U9" i="107" s="1"/>
  <c r="U6" i="57" s="1"/>
  <c r="U7" i="16" s="1"/>
  <c r="Y19" i="100"/>
  <c r="V9" i="107" s="1"/>
  <c r="V6" i="57" s="1"/>
  <c r="V7" i="16" s="1"/>
  <c r="Z19" i="100"/>
  <c r="G19" i="100"/>
  <c r="F9" i="100"/>
  <c r="C15" i="101"/>
  <c r="C16" i="101"/>
  <c r="C17" i="101"/>
  <c r="P9" i="101"/>
  <c r="Q9" i="101"/>
  <c r="R9" i="101"/>
  <c r="S9" i="101"/>
  <c r="T9" i="101"/>
  <c r="U9" i="101"/>
  <c r="V9" i="101"/>
  <c r="W9" i="101"/>
  <c r="X9" i="101"/>
  <c r="Y9" i="101"/>
  <c r="Z9" i="101"/>
  <c r="G9" i="101"/>
  <c r="H9" i="101"/>
  <c r="I9" i="101"/>
  <c r="K9" i="101"/>
  <c r="L9" i="101"/>
  <c r="M9" i="101"/>
  <c r="N9" i="101"/>
  <c r="O9" i="101"/>
  <c r="J9" i="101"/>
  <c r="I75" i="100" l="1"/>
  <c r="N9" i="107"/>
  <c r="N6" i="57" s="1"/>
  <c r="N7" i="16" s="1"/>
  <c r="M9" i="107"/>
  <c r="M6" i="57" s="1"/>
  <c r="M7" i="16" s="1"/>
  <c r="I73" i="100"/>
  <c r="I9" i="107"/>
  <c r="I6" i="57" s="1"/>
  <c r="I7" i="16" s="1"/>
  <c r="H73" i="100"/>
  <c r="E9" i="107"/>
  <c r="E6" i="57" s="1"/>
  <c r="I71" i="100"/>
  <c r="D9" i="107"/>
  <c r="D6" i="57" s="1"/>
  <c r="T9" i="107"/>
  <c r="T6" i="57" s="1"/>
  <c r="T7" i="16" s="1"/>
  <c r="P9" i="107"/>
  <c r="P6" i="57" s="1"/>
  <c r="P7" i="16" s="1"/>
  <c r="L9" i="107"/>
  <c r="L6" i="57" s="1"/>
  <c r="L7" i="16" s="1"/>
  <c r="H9" i="107"/>
  <c r="H6" i="57" s="1"/>
  <c r="H7" i="16" s="1"/>
  <c r="H71" i="100"/>
  <c r="H75" i="100"/>
  <c r="W9" i="107"/>
  <c r="W6" i="57" s="1"/>
  <c r="W7" i="16" s="1"/>
  <c r="S9" i="107"/>
  <c r="S6" i="57" s="1"/>
  <c r="S7" i="16" s="1"/>
  <c r="O9" i="107"/>
  <c r="O6" i="57" s="1"/>
  <c r="O7" i="16" s="1"/>
  <c r="K9" i="107"/>
  <c r="K6" i="57" s="1"/>
  <c r="K7" i="16" s="1"/>
  <c r="G9" i="107"/>
  <c r="G6" i="57" s="1"/>
  <c r="F9" i="107"/>
  <c r="F6" i="57" s="1"/>
  <c r="J73" i="100"/>
  <c r="N75" i="100"/>
  <c r="M75" i="100"/>
  <c r="L75" i="100"/>
  <c r="K75" i="100"/>
  <c r="J75" i="100"/>
  <c r="K73" i="100"/>
  <c r="N73" i="100"/>
  <c r="M73" i="100"/>
  <c r="L73" i="100"/>
  <c r="V75" i="100"/>
  <c r="R75" i="100"/>
  <c r="Y75" i="100"/>
  <c r="U75" i="100"/>
  <c r="Q75" i="100"/>
  <c r="X75" i="100"/>
  <c r="T75" i="100"/>
  <c r="P75" i="100"/>
  <c r="W75" i="100"/>
  <c r="S75" i="100"/>
  <c r="O75" i="100"/>
  <c r="S73" i="100"/>
  <c r="V73" i="100"/>
  <c r="R73" i="100"/>
  <c r="W73" i="100"/>
  <c r="O73" i="100"/>
  <c r="Y73" i="100"/>
  <c r="U73" i="100"/>
  <c r="Q73" i="100"/>
  <c r="X73" i="100"/>
  <c r="T73" i="100"/>
  <c r="P73" i="100"/>
  <c r="K70" i="100"/>
  <c r="K71" i="100" s="1"/>
  <c r="F10" i="100"/>
  <c r="O24" i="100"/>
  <c r="O44" i="100" s="1"/>
  <c r="Q44" i="100"/>
  <c r="I44" i="100"/>
  <c r="K44" i="100"/>
  <c r="T24" i="100"/>
  <c r="T44" i="100" s="1"/>
  <c r="U24" i="100"/>
  <c r="U44" i="100" s="1"/>
  <c r="S24" i="100"/>
  <c r="S44" i="100" s="1"/>
  <c r="L24" i="100"/>
  <c r="L44" i="100" s="1"/>
  <c r="J24" i="100"/>
  <c r="J44" i="100" s="1"/>
  <c r="P24" i="100"/>
  <c r="P44" i="100" s="1"/>
  <c r="M24" i="100"/>
  <c r="M44" i="100" s="1"/>
  <c r="R24" i="100"/>
  <c r="R44" i="100" s="1"/>
  <c r="N24" i="100"/>
  <c r="N44" i="100" s="1"/>
  <c r="F58" i="100"/>
  <c r="H58" i="100" s="1"/>
  <c r="J58" i="100" s="1"/>
  <c r="Z81" i="100" s="1"/>
  <c r="F57" i="100"/>
  <c r="H57" i="100" s="1"/>
  <c r="J57" i="100" s="1"/>
  <c r="F56" i="100"/>
  <c r="H56" i="100" s="1"/>
  <c r="J56" i="100" s="1"/>
  <c r="F20" i="95"/>
  <c r="F19" i="95"/>
  <c r="F18" i="95"/>
  <c r="G28" i="57"/>
  <c r="G27" i="57"/>
  <c r="G26" i="57"/>
  <c r="H43" i="95"/>
  <c r="H48" i="95"/>
  <c r="H47" i="95"/>
  <c r="H38" i="95"/>
  <c r="H40" i="95"/>
  <c r="H41" i="95"/>
  <c r="H42" i="95"/>
  <c r="F41" i="95"/>
  <c r="F40" i="95"/>
  <c r="H39" i="95"/>
  <c r="C69" i="57"/>
  <c r="C71" i="57" s="1"/>
  <c r="C65" i="57"/>
  <c r="E56" i="57"/>
  <c r="E55" i="57"/>
  <c r="E54" i="57"/>
  <c r="E52" i="57"/>
  <c r="E50" i="57"/>
  <c r="E46" i="57"/>
  <c r="E42" i="57"/>
  <c r="E37" i="57"/>
  <c r="E36" i="57"/>
  <c r="N79" i="100" l="1"/>
  <c r="R79" i="100"/>
  <c r="V79" i="100"/>
  <c r="Z79" i="100"/>
  <c r="L79" i="100"/>
  <c r="X79" i="100"/>
  <c r="Q79" i="100"/>
  <c r="Y79" i="100"/>
  <c r="O79" i="100"/>
  <c r="S79" i="100"/>
  <c r="W79" i="100"/>
  <c r="K79" i="100"/>
  <c r="P79" i="100"/>
  <c r="T79" i="100"/>
  <c r="M79" i="100"/>
  <c r="U79" i="100"/>
  <c r="X80" i="100"/>
  <c r="O80" i="100"/>
  <c r="P81" i="100"/>
  <c r="U81" i="100"/>
  <c r="J81" i="100"/>
  <c r="O81" i="100"/>
  <c r="T81" i="100"/>
  <c r="Y81" i="100"/>
  <c r="D17" i="108"/>
  <c r="T80" i="100"/>
  <c r="Y80" i="100"/>
  <c r="V80" i="100"/>
  <c r="W81" i="100"/>
  <c r="Q81" i="100"/>
  <c r="V81" i="100"/>
  <c r="M81" i="100"/>
  <c r="S80" i="100"/>
  <c r="N81" i="100"/>
  <c r="K81" i="100"/>
  <c r="H79" i="100"/>
  <c r="G79" i="100"/>
  <c r="I79" i="100"/>
  <c r="G80" i="100"/>
  <c r="H80" i="100"/>
  <c r="I80" i="100"/>
  <c r="Q80" i="100"/>
  <c r="W80" i="100"/>
  <c r="M80" i="100"/>
  <c r="J80" i="100"/>
  <c r="H81" i="100"/>
  <c r="G81" i="100"/>
  <c r="I81" i="100"/>
  <c r="P80" i="100"/>
  <c r="U80" i="100"/>
  <c r="R80" i="100"/>
  <c r="S81" i="100"/>
  <c r="X81" i="100"/>
  <c r="R81" i="100"/>
  <c r="N80" i="100"/>
  <c r="L81" i="100"/>
  <c r="J79" i="100"/>
  <c r="K80" i="100"/>
  <c r="Z80" i="100"/>
  <c r="L80" i="100"/>
  <c r="F75" i="100"/>
  <c r="F73" i="100"/>
  <c r="L70" i="100"/>
  <c r="E49" i="57"/>
  <c r="E34" i="57"/>
  <c r="D34" i="57" s="1"/>
  <c r="G29" i="57"/>
  <c r="J59" i="100"/>
  <c r="M70" i="100" l="1"/>
  <c r="L71" i="100"/>
  <c r="H6" i="101"/>
  <c r="H5" i="101"/>
  <c r="I5" i="101"/>
  <c r="I6" i="101"/>
  <c r="G5" i="101"/>
  <c r="G6" i="101"/>
  <c r="E61" i="57"/>
  <c r="C67" i="57" s="1"/>
  <c r="C68" i="57" s="1"/>
  <c r="C72" i="57" s="1"/>
  <c r="J6" i="101"/>
  <c r="J5" i="101"/>
  <c r="O7" i="17"/>
  <c r="G8" i="96"/>
  <c r="H8" i="96"/>
  <c r="I8" i="96"/>
  <c r="J8" i="96"/>
  <c r="K8" i="96"/>
  <c r="N70" i="100" l="1"/>
  <c r="M71" i="100"/>
  <c r="D26" i="39"/>
  <c r="D9" i="103"/>
  <c r="O70" i="100" l="1"/>
  <c r="N71" i="100"/>
  <c r="F28" i="100"/>
  <c r="H8" i="100"/>
  <c r="H6" i="100" s="1"/>
  <c r="I8" i="100"/>
  <c r="I6" i="100" s="1"/>
  <c r="J8" i="100"/>
  <c r="G8" i="100"/>
  <c r="D12" i="102"/>
  <c r="F64" i="100"/>
  <c r="F65" i="100"/>
  <c r="F63" i="100"/>
  <c r="G7" i="39"/>
  <c r="H7" i="39"/>
  <c r="I7" i="39"/>
  <c r="J7" i="39"/>
  <c r="K7" i="39"/>
  <c r="L7" i="39"/>
  <c r="M7" i="39"/>
  <c r="G6" i="39"/>
  <c r="H6" i="39"/>
  <c r="I6" i="39"/>
  <c r="J6" i="39"/>
  <c r="K6" i="39"/>
  <c r="L6" i="39"/>
  <c r="M6" i="39"/>
  <c r="G4" i="56"/>
  <c r="G12" i="56"/>
  <c r="F16" i="102"/>
  <c r="G16" i="102"/>
  <c r="F14" i="102"/>
  <c r="G14" i="102"/>
  <c r="I4" i="101"/>
  <c r="I3" i="101" s="1"/>
  <c r="F17" i="50" s="1"/>
  <c r="J4" i="101"/>
  <c r="J3" i="101" s="1"/>
  <c r="H3" i="58" s="1"/>
  <c r="G26" i="17"/>
  <c r="H26" i="17"/>
  <c r="I26" i="17"/>
  <c r="J26" i="17"/>
  <c r="K26" i="17"/>
  <c r="L26" i="17"/>
  <c r="M26" i="17"/>
  <c r="G24" i="17"/>
  <c r="G11" i="39" s="1"/>
  <c r="H24" i="17"/>
  <c r="H11" i="39" s="1"/>
  <c r="G22" i="17"/>
  <c r="H22" i="17"/>
  <c r="I22" i="17"/>
  <c r="J22" i="17"/>
  <c r="K22" i="17"/>
  <c r="L22" i="17"/>
  <c r="M22" i="17"/>
  <c r="D14" i="96"/>
  <c r="D7" i="96"/>
  <c r="H44" i="95"/>
  <c r="H45" i="95"/>
  <c r="H46" i="95"/>
  <c r="F8" i="96"/>
  <c r="L8" i="96"/>
  <c r="M8" i="96"/>
  <c r="S16" i="96"/>
  <c r="T16" i="96"/>
  <c r="U16" i="96"/>
  <c r="V16" i="96"/>
  <c r="W16" i="96"/>
  <c r="X16" i="96"/>
  <c r="Y16" i="96"/>
  <c r="Z16" i="96"/>
  <c r="AA16" i="96"/>
  <c r="R16" i="96"/>
  <c r="N12" i="96"/>
  <c r="P70" i="100" l="1"/>
  <c r="O71" i="100"/>
  <c r="I3" i="100"/>
  <c r="F33" i="16" s="1"/>
  <c r="I16" i="100"/>
  <c r="H3" i="100"/>
  <c r="H16" i="100"/>
  <c r="H26" i="18"/>
  <c r="J6" i="100"/>
  <c r="J6" i="56"/>
  <c r="J25" i="18"/>
  <c r="J12" i="39"/>
  <c r="H6" i="56"/>
  <c r="H25" i="18"/>
  <c r="H12" i="39"/>
  <c r="M25" i="18"/>
  <c r="M12" i="39"/>
  <c r="M6" i="56"/>
  <c r="I25" i="18"/>
  <c r="I6" i="56"/>
  <c r="I12" i="39"/>
  <c r="G25" i="18"/>
  <c r="G12" i="39"/>
  <c r="G6" i="56"/>
  <c r="L6" i="56"/>
  <c r="L12" i="39"/>
  <c r="L25" i="18"/>
  <c r="K12" i="39"/>
  <c r="K6" i="56"/>
  <c r="K25" i="18"/>
  <c r="G3" i="58"/>
  <c r="G11" i="38" s="1"/>
  <c r="H13" i="39"/>
  <c r="H3" i="56"/>
  <c r="G17" i="50"/>
  <c r="F6" i="107"/>
  <c r="G6" i="107"/>
  <c r="G26" i="18"/>
  <c r="F19" i="50"/>
  <c r="H8" i="18"/>
  <c r="H11" i="38"/>
  <c r="F5" i="57"/>
  <c r="F4" i="57" s="1"/>
  <c r="C47" i="16"/>
  <c r="D21" i="103"/>
  <c r="S25" i="17"/>
  <c r="T25" i="17"/>
  <c r="U25" i="17"/>
  <c r="V25" i="17"/>
  <c r="W25" i="17"/>
  <c r="X25" i="17"/>
  <c r="S21" i="17"/>
  <c r="T21" i="17"/>
  <c r="U21" i="17"/>
  <c r="V21" i="17"/>
  <c r="W21" i="17"/>
  <c r="X21" i="17"/>
  <c r="S20" i="17"/>
  <c r="T20" i="17"/>
  <c r="U20" i="17"/>
  <c r="V20" i="17"/>
  <c r="W20" i="17"/>
  <c r="X20" i="17"/>
  <c r="S7" i="39"/>
  <c r="T7" i="39"/>
  <c r="U7" i="39"/>
  <c r="S6" i="39"/>
  <c r="T6" i="39"/>
  <c r="U6" i="39"/>
  <c r="S5" i="39"/>
  <c r="T5" i="39"/>
  <c r="U5" i="39"/>
  <c r="S19" i="18"/>
  <c r="T19" i="18"/>
  <c r="U19" i="18"/>
  <c r="S14" i="18"/>
  <c r="S12" i="18" s="1"/>
  <c r="T14" i="18"/>
  <c r="U14" i="18"/>
  <c r="P71" i="100" l="1"/>
  <c r="P5" i="101" s="1"/>
  <c r="Q70" i="100"/>
  <c r="L6" i="101"/>
  <c r="L5" i="101"/>
  <c r="M6" i="101"/>
  <c r="M5" i="101"/>
  <c r="K6" i="101"/>
  <c r="K5" i="101"/>
  <c r="I21" i="100"/>
  <c r="I43" i="100" s="1"/>
  <c r="I42" i="100" s="1"/>
  <c r="H21" i="100"/>
  <c r="H43" i="100" s="1"/>
  <c r="O6" i="101"/>
  <c r="O5" i="101"/>
  <c r="Z6" i="101"/>
  <c r="Z5" i="101"/>
  <c r="N6" i="101"/>
  <c r="N5" i="101"/>
  <c r="J3" i="100"/>
  <c r="G33" i="16" s="1"/>
  <c r="J16" i="100"/>
  <c r="G13" i="39"/>
  <c r="E8" i="103"/>
  <c r="G5" i="57"/>
  <c r="G4" i="57" s="1"/>
  <c r="L8" i="100"/>
  <c r="L6" i="100" s="1"/>
  <c r="I5" i="57" s="1"/>
  <c r="K8" i="100"/>
  <c r="K6" i="100" s="1"/>
  <c r="H5" i="57" s="1"/>
  <c r="H4" i="57" s="1"/>
  <c r="H3" i="57" s="1"/>
  <c r="O8" i="100"/>
  <c r="O6" i="100" s="1"/>
  <c r="L5" i="57" s="1"/>
  <c r="M8" i="100"/>
  <c r="M6" i="100" s="1"/>
  <c r="J5" i="57" s="1"/>
  <c r="N8" i="100"/>
  <c r="N6" i="100" s="1"/>
  <c r="K5" i="57" s="1"/>
  <c r="Z8" i="100"/>
  <c r="L5" i="56"/>
  <c r="L13" i="56" s="1"/>
  <c r="L14" i="56"/>
  <c r="G5" i="56"/>
  <c r="G13" i="56" s="1"/>
  <c r="G14" i="56"/>
  <c r="M5" i="56"/>
  <c r="M13" i="56" s="1"/>
  <c r="M14" i="56"/>
  <c r="H14" i="56"/>
  <c r="H5" i="56"/>
  <c r="H13" i="56" s="1"/>
  <c r="K14" i="56"/>
  <c r="K5" i="56"/>
  <c r="K13" i="56" s="1"/>
  <c r="I5" i="56"/>
  <c r="I13" i="56" s="1"/>
  <c r="I14" i="56"/>
  <c r="J14" i="56"/>
  <c r="J5" i="56"/>
  <c r="J13" i="56" s="1"/>
  <c r="G8" i="18"/>
  <c r="G3" i="56"/>
  <c r="G7" i="107"/>
  <c r="G8" i="107" s="1"/>
  <c r="F7" i="107"/>
  <c r="F8" i="107" s="1"/>
  <c r="H4" i="6"/>
  <c r="F4" i="50"/>
  <c r="F3" i="107"/>
  <c r="F4" i="16"/>
  <c r="F81" i="100"/>
  <c r="F80" i="100"/>
  <c r="G43" i="95"/>
  <c r="H22" i="100"/>
  <c r="I22" i="100"/>
  <c r="P22" i="100"/>
  <c r="Q22" i="100"/>
  <c r="R22" i="100"/>
  <c r="S22" i="100"/>
  <c r="T22" i="100"/>
  <c r="W22" i="100"/>
  <c r="X22" i="100"/>
  <c r="Y22" i="100"/>
  <c r="Z22" i="100"/>
  <c r="P8" i="100" l="1"/>
  <c r="P6" i="101"/>
  <c r="R70" i="100"/>
  <c r="Q71" i="100"/>
  <c r="G4" i="16"/>
  <c r="G3" i="107"/>
  <c r="I4" i="6"/>
  <c r="G4" i="50"/>
  <c r="N4" i="101"/>
  <c r="N3" i="101" s="1"/>
  <c r="L3" i="58" s="1"/>
  <c r="O4" i="101"/>
  <c r="K4" i="101"/>
  <c r="K3" i="101" s="1"/>
  <c r="H17" i="50" s="1"/>
  <c r="M4" i="101"/>
  <c r="M3" i="101" s="1"/>
  <c r="J17" i="50" s="1"/>
  <c r="K4" i="57"/>
  <c r="K3" i="57" s="1"/>
  <c r="N16" i="100"/>
  <c r="L4" i="57"/>
  <c r="L3" i="57" s="1"/>
  <c r="O16" i="100"/>
  <c r="J4" i="57"/>
  <c r="J3" i="57" s="1"/>
  <c r="M16" i="100"/>
  <c r="I4" i="57"/>
  <c r="I3" i="57" s="1"/>
  <c r="L16" i="100"/>
  <c r="L4" i="101"/>
  <c r="L3" i="101" s="1"/>
  <c r="K16" i="100"/>
  <c r="E10" i="103"/>
  <c r="G22" i="100"/>
  <c r="F22" i="100" s="1"/>
  <c r="F17" i="100"/>
  <c r="F18" i="100"/>
  <c r="K3" i="100"/>
  <c r="J4" i="6" s="1"/>
  <c r="L3" i="100"/>
  <c r="K4" i="6" s="1"/>
  <c r="M3" i="100"/>
  <c r="L4" i="6" s="1"/>
  <c r="O3" i="100"/>
  <c r="N4" i="6" s="1"/>
  <c r="N3" i="100"/>
  <c r="M4" i="6" s="1"/>
  <c r="G7" i="56"/>
  <c r="F35" i="16" s="1"/>
  <c r="Q6" i="101" l="1"/>
  <c r="Q8" i="100"/>
  <c r="Q5" i="101"/>
  <c r="S70" i="100"/>
  <c r="R71" i="100"/>
  <c r="I3" i="58"/>
  <c r="I3" i="56" s="1"/>
  <c r="J6" i="107"/>
  <c r="J7" i="107" s="1"/>
  <c r="J8" i="107" s="1"/>
  <c r="K17" i="50"/>
  <c r="K3" i="58"/>
  <c r="K8" i="18" s="1"/>
  <c r="H6" i="107"/>
  <c r="H7" i="107" s="1"/>
  <c r="H8" i="107" s="1"/>
  <c r="K6" i="107"/>
  <c r="K7" i="107" s="1"/>
  <c r="K8" i="107" s="1"/>
  <c r="O21" i="100"/>
  <c r="O20" i="100" s="1"/>
  <c r="O15" i="100"/>
  <c r="L11" i="38"/>
  <c r="L8" i="18"/>
  <c r="L13" i="39"/>
  <c r="L3" i="56"/>
  <c r="L21" i="100"/>
  <c r="L20" i="100" s="1"/>
  <c r="L15" i="100"/>
  <c r="K21" i="100"/>
  <c r="K20" i="100" s="1"/>
  <c r="K15" i="100"/>
  <c r="N21" i="100"/>
  <c r="N20" i="100" s="1"/>
  <c r="N15" i="100"/>
  <c r="I6" i="107"/>
  <c r="I7" i="107" s="1"/>
  <c r="I8" i="107" s="1"/>
  <c r="I17" i="50"/>
  <c r="J3" i="58"/>
  <c r="M21" i="100"/>
  <c r="M20" i="100" s="1"/>
  <c r="M15" i="100"/>
  <c r="K3" i="107"/>
  <c r="L3" i="107"/>
  <c r="I3" i="107"/>
  <c r="J3" i="107"/>
  <c r="H3" i="107"/>
  <c r="F6" i="16"/>
  <c r="E11" i="103"/>
  <c r="E7" i="103" s="1"/>
  <c r="I33" i="16"/>
  <c r="I4" i="16"/>
  <c r="I4" i="50"/>
  <c r="L33" i="16"/>
  <c r="L4" i="16"/>
  <c r="L4" i="50"/>
  <c r="K33" i="16"/>
  <c r="K4" i="16"/>
  <c r="K4" i="50"/>
  <c r="H33" i="16"/>
  <c r="H4" i="50"/>
  <c r="H4" i="16"/>
  <c r="J4" i="16"/>
  <c r="J33" i="16"/>
  <c r="J4" i="50"/>
  <c r="T70" i="100" l="1"/>
  <c r="S71" i="100"/>
  <c r="R5" i="101"/>
  <c r="R6" i="101"/>
  <c r="R8" i="100"/>
  <c r="K13" i="39"/>
  <c r="I13" i="39"/>
  <c r="I11" i="38"/>
  <c r="I8" i="18"/>
  <c r="K11" i="38"/>
  <c r="K3" i="56"/>
  <c r="O43" i="100"/>
  <c r="O42" i="100" s="1"/>
  <c r="N43" i="100"/>
  <c r="N42" i="100" s="1"/>
  <c r="L43" i="100"/>
  <c r="L42" i="100" s="1"/>
  <c r="K43" i="100"/>
  <c r="K42" i="100" s="1"/>
  <c r="M43" i="100"/>
  <c r="M42" i="100" s="1"/>
  <c r="J8" i="18"/>
  <c r="J11" i="38"/>
  <c r="J13" i="39"/>
  <c r="J3" i="56"/>
  <c r="C14" i="50"/>
  <c r="C16" i="50"/>
  <c r="C9" i="50"/>
  <c r="C10" i="50"/>
  <c r="S6" i="101" l="1"/>
  <c r="S5" i="101"/>
  <c r="S8" i="100"/>
  <c r="T71" i="100"/>
  <c r="U70" i="100"/>
  <c r="T22" i="93"/>
  <c r="T24" i="93"/>
  <c r="T26" i="93"/>
  <c r="T27" i="93"/>
  <c r="T21" i="93"/>
  <c r="R22" i="93"/>
  <c r="R21" i="93"/>
  <c r="D16" i="39"/>
  <c r="V5" i="39"/>
  <c r="W5" i="39"/>
  <c r="X5" i="39"/>
  <c r="V6" i="39"/>
  <c r="W6" i="39"/>
  <c r="V7" i="39"/>
  <c r="W7" i="39"/>
  <c r="X7" i="39"/>
  <c r="D7" i="38"/>
  <c r="D10" i="38"/>
  <c r="O19" i="18"/>
  <c r="P19" i="18"/>
  <c r="Q19" i="18"/>
  <c r="R19" i="18"/>
  <c r="V19" i="18"/>
  <c r="W19" i="18"/>
  <c r="X19" i="18"/>
  <c r="D17" i="18"/>
  <c r="D22" i="18"/>
  <c r="D27" i="18"/>
  <c r="T13" i="18"/>
  <c r="T12" i="18" s="1"/>
  <c r="U13" i="18"/>
  <c r="U12" i="18" s="1"/>
  <c r="V13" i="18"/>
  <c r="W13" i="18"/>
  <c r="V14" i="18"/>
  <c r="W14" i="18"/>
  <c r="X14" i="18"/>
  <c r="F12" i="56"/>
  <c r="E12" i="56"/>
  <c r="F4" i="56"/>
  <c r="E4" i="56"/>
  <c r="O20" i="17"/>
  <c r="P20" i="17"/>
  <c r="Q20" i="17"/>
  <c r="R20" i="17"/>
  <c r="O21" i="17"/>
  <c r="P21" i="17"/>
  <c r="Q21" i="17"/>
  <c r="R21" i="17"/>
  <c r="E22" i="17"/>
  <c r="F22" i="17"/>
  <c r="E24" i="17"/>
  <c r="E11" i="39" s="1"/>
  <c r="F24" i="17"/>
  <c r="F11" i="39" s="1"/>
  <c r="O25" i="17"/>
  <c r="P25" i="17"/>
  <c r="Q25" i="17"/>
  <c r="R25" i="17"/>
  <c r="E26" i="17"/>
  <c r="E6" i="56" s="1"/>
  <c r="F26" i="17"/>
  <c r="F6" i="56" s="1"/>
  <c r="F14" i="56" s="1"/>
  <c r="D27" i="17"/>
  <c r="E19" i="17"/>
  <c r="D19" i="17"/>
  <c r="G4" i="101"/>
  <c r="H4" i="101"/>
  <c r="P4" i="101"/>
  <c r="O3" i="101"/>
  <c r="F10" i="101"/>
  <c r="P6" i="100"/>
  <c r="M5" i="57" s="1"/>
  <c r="G6" i="100"/>
  <c r="G16" i="100" s="1"/>
  <c r="H53" i="95"/>
  <c r="H54" i="95"/>
  <c r="H55" i="95"/>
  <c r="H56" i="95"/>
  <c r="H58" i="95"/>
  <c r="H59" i="95"/>
  <c r="H60" i="95"/>
  <c r="H61" i="95"/>
  <c r="H62" i="95"/>
  <c r="H64" i="95"/>
  <c r="H65" i="95"/>
  <c r="H66" i="95"/>
  <c r="H67" i="95"/>
  <c r="H52" i="95"/>
  <c r="H50" i="95"/>
  <c r="H36" i="95"/>
  <c r="H28" i="95"/>
  <c r="H29" i="95"/>
  <c r="H30" i="95"/>
  <c r="H31" i="95"/>
  <c r="H32" i="95"/>
  <c r="G33" i="95"/>
  <c r="H33" i="95" s="1"/>
  <c r="G34" i="95"/>
  <c r="H34" i="95" s="1"/>
  <c r="G35" i="95"/>
  <c r="H35" i="95" s="1"/>
  <c r="H27" i="95"/>
  <c r="H18" i="95"/>
  <c r="H19" i="95"/>
  <c r="H20" i="95"/>
  <c r="H21" i="95"/>
  <c r="H22" i="95"/>
  <c r="H23" i="95"/>
  <c r="H24" i="95"/>
  <c r="H25" i="95"/>
  <c r="H17" i="95"/>
  <c r="H8" i="95"/>
  <c r="H9" i="95"/>
  <c r="H10" i="95"/>
  <c r="H11" i="95"/>
  <c r="H12" i="95"/>
  <c r="H13" i="95"/>
  <c r="H14" i="95"/>
  <c r="H15" i="95"/>
  <c r="H7" i="95"/>
  <c r="T8" i="100" l="1"/>
  <c r="T5" i="101"/>
  <c r="T6" i="101"/>
  <c r="V70" i="100"/>
  <c r="U71" i="100"/>
  <c r="M4" i="57"/>
  <c r="M3" i="57" s="1"/>
  <c r="P16" i="100"/>
  <c r="G21" i="100"/>
  <c r="G43" i="100" s="1"/>
  <c r="M3" i="58"/>
  <c r="L6" i="107"/>
  <c r="L7" i="107" s="1"/>
  <c r="L8" i="107" s="1"/>
  <c r="D5" i="57"/>
  <c r="D4" i="57" s="1"/>
  <c r="G3" i="100"/>
  <c r="L17" i="50"/>
  <c r="E5" i="57"/>
  <c r="E4" i="57" s="1"/>
  <c r="P3" i="100"/>
  <c r="O4" i="6" s="1"/>
  <c r="I23" i="100"/>
  <c r="S23" i="100"/>
  <c r="Z23" i="100"/>
  <c r="R23" i="100"/>
  <c r="P23" i="100"/>
  <c r="T23" i="100"/>
  <c r="W23" i="100"/>
  <c r="H23" i="100"/>
  <c r="G23" i="100"/>
  <c r="Q23" i="100"/>
  <c r="X23" i="100"/>
  <c r="Y23" i="100"/>
  <c r="W12" i="18"/>
  <c r="Z4" i="101"/>
  <c r="S4" i="101"/>
  <c r="H3" i="101"/>
  <c r="G3" i="101"/>
  <c r="E3" i="58" s="1"/>
  <c r="R4" i="101"/>
  <c r="V12" i="18"/>
  <c r="Q4" i="101"/>
  <c r="H51" i="95"/>
  <c r="H57" i="95"/>
  <c r="T4" i="101" l="1"/>
  <c r="W70" i="100"/>
  <c r="V71" i="100"/>
  <c r="U8" i="100"/>
  <c r="U5" i="101"/>
  <c r="U6" i="101"/>
  <c r="P21" i="100"/>
  <c r="P20" i="100" s="1"/>
  <c r="P15" i="100"/>
  <c r="J21" i="100"/>
  <c r="J43" i="100" s="1"/>
  <c r="J42" i="100" s="1"/>
  <c r="M3" i="107"/>
  <c r="F23" i="100"/>
  <c r="F11" i="56"/>
  <c r="L11" i="56"/>
  <c r="N48" i="100" s="1"/>
  <c r="E11" i="56"/>
  <c r="G11" i="56"/>
  <c r="I48" i="100" s="1"/>
  <c r="I11" i="56"/>
  <c r="K48" i="100" s="1"/>
  <c r="M11" i="56"/>
  <c r="O48" i="100" s="1"/>
  <c r="K11" i="56"/>
  <c r="M48" i="100" s="1"/>
  <c r="H11" i="56"/>
  <c r="J48" i="100" s="1"/>
  <c r="J11" i="56"/>
  <c r="L48" i="100" s="1"/>
  <c r="D4" i="16"/>
  <c r="D4" i="50"/>
  <c r="D3" i="107"/>
  <c r="F4" i="6"/>
  <c r="D33" i="16"/>
  <c r="M8" i="18"/>
  <c r="M3" i="56"/>
  <c r="M13" i="39"/>
  <c r="M11" i="38"/>
  <c r="E17" i="50"/>
  <c r="F3" i="58"/>
  <c r="F11" i="38" s="1"/>
  <c r="M33" i="16"/>
  <c r="M4" i="16"/>
  <c r="M4" i="50"/>
  <c r="E4" i="50"/>
  <c r="E3" i="107"/>
  <c r="E4" i="16"/>
  <c r="G4" i="6"/>
  <c r="E33" i="16"/>
  <c r="E6" i="107"/>
  <c r="E7" i="107" s="1"/>
  <c r="D17" i="50"/>
  <c r="D6" i="107"/>
  <c r="U4" i="101" l="1"/>
  <c r="V6" i="101"/>
  <c r="V5" i="101"/>
  <c r="V8" i="100"/>
  <c r="X70" i="100"/>
  <c r="W71" i="100"/>
  <c r="P43" i="100"/>
  <c r="P42" i="100" s="1"/>
  <c r="G15" i="56"/>
  <c r="E28" i="100"/>
  <c r="E8" i="107"/>
  <c r="E11" i="38"/>
  <c r="D7" i="107"/>
  <c r="F3" i="56"/>
  <c r="E3" i="56"/>
  <c r="V4" i="101" l="1"/>
  <c r="Y70" i="100"/>
  <c r="X71" i="100"/>
  <c r="W5" i="101"/>
  <c r="W6" i="101"/>
  <c r="W8" i="100"/>
  <c r="W6" i="100" s="1"/>
  <c r="Z6" i="100"/>
  <c r="V6" i="100"/>
  <c r="U6" i="100"/>
  <c r="Q6" i="100"/>
  <c r="T6" i="100"/>
  <c r="S6" i="100"/>
  <c r="R6" i="100"/>
  <c r="D8" i="107"/>
  <c r="W4" i="101" l="1"/>
  <c r="Z70" i="100"/>
  <c r="Y71" i="100"/>
  <c r="R5" i="57"/>
  <c r="R4" i="57" s="1"/>
  <c r="R3" i="57" s="1"/>
  <c r="W5" i="57"/>
  <c r="W4" i="57" s="1"/>
  <c r="W3" i="57" s="1"/>
  <c r="O5" i="57"/>
  <c r="O4" i="57" s="1"/>
  <c r="O3" i="57" s="1"/>
  <c r="S5" i="57"/>
  <c r="S4" i="57" s="1"/>
  <c r="S3" i="57" s="1"/>
  <c r="Q5" i="57"/>
  <c r="Q4" i="57" s="1"/>
  <c r="Q3" i="57" s="1"/>
  <c r="P5" i="57"/>
  <c r="P4" i="57" s="1"/>
  <c r="P3" i="57" s="1"/>
  <c r="N5" i="57"/>
  <c r="N4" i="57" s="1"/>
  <c r="N3" i="57" s="1"/>
  <c r="T5" i="57"/>
  <c r="T4" i="57" s="1"/>
  <c r="T3" i="57" s="1"/>
  <c r="U16" i="100"/>
  <c r="U3" i="100"/>
  <c r="T4" i="6" s="1"/>
  <c r="W16" i="100"/>
  <c r="W3" i="100"/>
  <c r="V4" i="6" s="1"/>
  <c r="V3" i="100"/>
  <c r="U4" i="6" s="1"/>
  <c r="V16" i="100"/>
  <c r="Z3" i="100"/>
  <c r="Y4" i="6" s="1"/>
  <c r="Z16" i="100"/>
  <c r="Q3" i="100"/>
  <c r="P4" i="6" s="1"/>
  <c r="Q16" i="100"/>
  <c r="S3" i="100"/>
  <c r="R4" i="6" s="1"/>
  <c r="S16" i="100"/>
  <c r="T3" i="100"/>
  <c r="S4" i="6" s="1"/>
  <c r="T16" i="100"/>
  <c r="R3" i="100"/>
  <c r="Q4" i="6" s="1"/>
  <c r="R16" i="100"/>
  <c r="Y8" i="100" l="1"/>
  <c r="Y6" i="101"/>
  <c r="Y5" i="101"/>
  <c r="F71" i="100"/>
  <c r="X5" i="101"/>
  <c r="X8" i="100"/>
  <c r="X6" i="100" s="1"/>
  <c r="X6" i="101"/>
  <c r="F79" i="100"/>
  <c r="S21" i="100"/>
  <c r="S43" i="100" s="1"/>
  <c r="S42" i="100" s="1"/>
  <c r="Z21" i="100"/>
  <c r="Z43" i="100" s="1"/>
  <c r="W21" i="100"/>
  <c r="W43" i="100" s="1"/>
  <c r="V21" i="100"/>
  <c r="V43" i="100" s="1"/>
  <c r="U21" i="100"/>
  <c r="U43" i="100" s="1"/>
  <c r="U42" i="100" s="1"/>
  <c r="R21" i="100"/>
  <c r="R43" i="100" s="1"/>
  <c r="R42" i="100" s="1"/>
  <c r="T21" i="100"/>
  <c r="T43" i="100" s="1"/>
  <c r="T42" i="100" s="1"/>
  <c r="Q21" i="100"/>
  <c r="Q43" i="100" s="1"/>
  <c r="N3" i="107"/>
  <c r="R3" i="107"/>
  <c r="O3" i="107"/>
  <c r="P4" i="16"/>
  <c r="P3" i="107"/>
  <c r="W3" i="107"/>
  <c r="Q3" i="107"/>
  <c r="T3" i="107"/>
  <c r="S3" i="107"/>
  <c r="N4" i="50"/>
  <c r="T33" i="16"/>
  <c r="S33" i="16"/>
  <c r="O33" i="16"/>
  <c r="R33" i="16"/>
  <c r="R4" i="50"/>
  <c r="R4" i="16"/>
  <c r="Q4" i="16"/>
  <c r="P33" i="16"/>
  <c r="W4" i="16"/>
  <c r="T4" i="50"/>
  <c r="T4" i="16"/>
  <c r="S4" i="16"/>
  <c r="S4" i="50"/>
  <c r="N4" i="16"/>
  <c r="Q4" i="50"/>
  <c r="O4" i="50"/>
  <c r="P4" i="50"/>
  <c r="W4" i="50"/>
  <c r="Q33" i="16"/>
  <c r="W33" i="16"/>
  <c r="N33" i="16"/>
  <c r="O4" i="16"/>
  <c r="Y4" i="101" l="1"/>
  <c r="U5" i="57"/>
  <c r="X3" i="100"/>
  <c r="X16" i="100"/>
  <c r="F6" i="101"/>
  <c r="X4" i="101"/>
  <c r="F5" i="101"/>
  <c r="F8" i="100"/>
  <c r="Y6" i="100"/>
  <c r="F6" i="100" s="1"/>
  <c r="Q42" i="100"/>
  <c r="F4" i="101" l="1"/>
  <c r="W4" i="6"/>
  <c r="U3" i="107"/>
  <c r="U4" i="50"/>
  <c r="U4" i="16"/>
  <c r="U33" i="16"/>
  <c r="V5" i="57"/>
  <c r="V4" i="57" s="1"/>
  <c r="V3" i="57" s="1"/>
  <c r="Y16" i="100"/>
  <c r="Y21" i="100" s="1"/>
  <c r="Y43" i="100" s="1"/>
  <c r="Y3" i="100"/>
  <c r="F3" i="100" s="1"/>
  <c r="U4" i="57"/>
  <c r="X21" i="100"/>
  <c r="H26" i="95"/>
  <c r="C5" i="57" l="1"/>
  <c r="F16" i="100"/>
  <c r="U3" i="57"/>
  <c r="C4" i="57"/>
  <c r="X43" i="100"/>
  <c r="F21" i="100"/>
  <c r="X4" i="6"/>
  <c r="V3" i="107"/>
  <c r="V4" i="16"/>
  <c r="C4" i="16" s="1"/>
  <c r="V33" i="16"/>
  <c r="C33" i="16" s="1"/>
  <c r="V4" i="50"/>
  <c r="C4" i="50" s="1"/>
  <c r="E4" i="94"/>
  <c r="H16" i="95"/>
  <c r="D4" i="94" s="1"/>
  <c r="D8" i="96"/>
  <c r="E43" i="100" l="1"/>
  <c r="F43" i="100"/>
  <c r="N21" i="96"/>
  <c r="N11" i="96" s="1"/>
  <c r="O24" i="96"/>
  <c r="R7" i="39" l="1"/>
  <c r="Q7" i="39"/>
  <c r="P7" i="39"/>
  <c r="O7" i="39"/>
  <c r="N7" i="39"/>
  <c r="F7" i="39"/>
  <c r="E7" i="39"/>
  <c r="R6" i="39"/>
  <c r="Q6" i="39"/>
  <c r="P6" i="39"/>
  <c r="O6" i="39"/>
  <c r="N6" i="39"/>
  <c r="F6" i="39"/>
  <c r="E6" i="39"/>
  <c r="R5" i="39"/>
  <c r="Q5" i="39"/>
  <c r="P5" i="39"/>
  <c r="O5" i="39"/>
  <c r="E29" i="18"/>
  <c r="R14" i="18"/>
  <c r="R12" i="18" s="1"/>
  <c r="Q14" i="18"/>
  <c r="Q12" i="18" s="1"/>
  <c r="P14" i="18"/>
  <c r="P12" i="18" s="1"/>
  <c r="O14" i="18"/>
  <c r="O12" i="18" s="1"/>
  <c r="D16" i="16"/>
  <c r="E14" i="56"/>
  <c r="F5" i="56"/>
  <c r="E5" i="56"/>
  <c r="E13" i="56" s="1"/>
  <c r="G48" i="100" s="1"/>
  <c r="U29" i="17"/>
  <c r="T29" i="17"/>
  <c r="E16" i="102"/>
  <c r="E14" i="102"/>
  <c r="E45" i="6"/>
  <c r="AC12" i="96"/>
  <c r="X16" i="103" s="1"/>
  <c r="X12" i="103" s="1"/>
  <c r="M10" i="96"/>
  <c r="O10" i="96" s="1"/>
  <c r="N24" i="93"/>
  <c r="K24" i="93"/>
  <c r="N23" i="93"/>
  <c r="K23" i="93"/>
  <c r="N22" i="93"/>
  <c r="N21" i="93"/>
  <c r="N20" i="93"/>
  <c r="L18" i="93"/>
  <c r="L17" i="93"/>
  <c r="L16" i="93"/>
  <c r="L15" i="93"/>
  <c r="L14" i="93"/>
  <c r="E6" i="103" l="1"/>
  <c r="F7" i="56"/>
  <c r="E6" i="16" s="1"/>
  <c r="F13" i="56"/>
  <c r="D7" i="39"/>
  <c r="P3" i="101"/>
  <c r="E7" i="56"/>
  <c r="E8" i="18"/>
  <c r="E13" i="39"/>
  <c r="F13" i="39"/>
  <c r="F8" i="18"/>
  <c r="E12" i="39"/>
  <c r="E25" i="18"/>
  <c r="F12" i="39"/>
  <c r="F25" i="18"/>
  <c r="D19" i="50"/>
  <c r="E26" i="18"/>
  <c r="F26" i="18"/>
  <c r="E19" i="50"/>
  <c r="F15" i="56" l="1"/>
  <c r="H48" i="100"/>
  <c r="N3" i="58"/>
  <c r="N3" i="56" s="1"/>
  <c r="M6" i="107"/>
  <c r="M7" i="107" s="1"/>
  <c r="M8" i="107" s="1"/>
  <c r="E35" i="16"/>
  <c r="N11" i="56"/>
  <c r="D35" i="16"/>
  <c r="D6" i="16"/>
  <c r="M17" i="50"/>
  <c r="H6" i="95"/>
  <c r="N11" i="38" l="1"/>
  <c r="C4" i="94"/>
  <c r="H5" i="95"/>
  <c r="H4" i="95" s="1"/>
  <c r="E15" i="56"/>
  <c r="R21" i="96" l="1"/>
  <c r="R23" i="96"/>
  <c r="H6" i="96"/>
  <c r="H13" i="50" s="1"/>
  <c r="G6" i="96"/>
  <c r="G13" i="50" s="1"/>
  <c r="I6" i="96"/>
  <c r="I13" i="50" s="1"/>
  <c r="E6" i="96"/>
  <c r="E13" i="50" s="1"/>
  <c r="K6" i="96"/>
  <c r="K13" i="50" s="1"/>
  <c r="F6" i="96"/>
  <c r="F13" i="50" s="1"/>
  <c r="L6" i="96"/>
  <c r="L13" i="50" s="1"/>
  <c r="M6" i="96"/>
  <c r="J6" i="96"/>
  <c r="J13" i="50" s="1"/>
  <c r="O25" i="96"/>
  <c r="N8" i="103" l="1"/>
  <c r="N10" i="103" s="1"/>
  <c r="N11" i="103" s="1"/>
  <c r="N7" i="103" s="1"/>
  <c r="N15" i="103" s="1"/>
  <c r="M13" i="50"/>
  <c r="I22" i="96"/>
  <c r="I21" i="96" s="1"/>
  <c r="J15" i="110" s="1"/>
  <c r="H17" i="96"/>
  <c r="I17" i="96"/>
  <c r="K17" i="96"/>
  <c r="J17" i="96"/>
  <c r="J13" i="96" s="1"/>
  <c r="H22" i="96"/>
  <c r="H21" i="96" s="1"/>
  <c r="I15" i="110" s="1"/>
  <c r="J22" i="96"/>
  <c r="H8" i="103"/>
  <c r="H10" i="103" s="1"/>
  <c r="H11" i="103" s="1"/>
  <c r="H7" i="103" s="1"/>
  <c r="H15" i="103" s="1"/>
  <c r="J26" i="100"/>
  <c r="J8" i="103"/>
  <c r="J10" i="103" s="1"/>
  <c r="J11" i="103" s="1"/>
  <c r="J7" i="103" s="1"/>
  <c r="J15" i="103" s="1"/>
  <c r="L26" i="100"/>
  <c r="M17" i="96"/>
  <c r="G17" i="96"/>
  <c r="F17" i="96"/>
  <c r="L17" i="96"/>
  <c r="E17" i="96"/>
  <c r="E13" i="96" s="1"/>
  <c r="M8" i="103"/>
  <c r="M10" i="103" s="1"/>
  <c r="M11" i="103" s="1"/>
  <c r="M7" i="103" s="1"/>
  <c r="M15" i="103" s="1"/>
  <c r="O26" i="100"/>
  <c r="G8" i="103"/>
  <c r="G10" i="103" s="1"/>
  <c r="G11" i="103" s="1"/>
  <c r="G7" i="103" s="1"/>
  <c r="G15" i="103" s="1"/>
  <c r="I26" i="100"/>
  <c r="K8" i="103"/>
  <c r="K10" i="103" s="1"/>
  <c r="K11" i="103" s="1"/>
  <c r="K7" i="103" s="1"/>
  <c r="K15" i="103" s="1"/>
  <c r="M26" i="100"/>
  <c r="I8" i="103"/>
  <c r="I10" i="103" s="1"/>
  <c r="I11" i="103" s="1"/>
  <c r="I7" i="103" s="1"/>
  <c r="I15" i="103" s="1"/>
  <c r="K26" i="100"/>
  <c r="L8" i="103"/>
  <c r="L10" i="103" s="1"/>
  <c r="L11" i="103" s="1"/>
  <c r="L7" i="103" s="1"/>
  <c r="L15" i="103" s="1"/>
  <c r="N26" i="100"/>
  <c r="F8" i="103"/>
  <c r="F4" i="94"/>
  <c r="H13" i="96" l="1"/>
  <c r="I13" i="96"/>
  <c r="D8" i="103"/>
  <c r="F10" i="103"/>
  <c r="G22" i="96"/>
  <c r="G21" i="96" s="1"/>
  <c r="H15" i="110" s="1"/>
  <c r="F22" i="96"/>
  <c r="F21" i="96" s="1"/>
  <c r="G15" i="110" s="1"/>
  <c r="L22" i="96"/>
  <c r="L21" i="96" s="1"/>
  <c r="M15" i="110" s="1"/>
  <c r="J21" i="96"/>
  <c r="K15" i="110" s="1"/>
  <c r="K22" i="96"/>
  <c r="K21" i="96" s="1"/>
  <c r="L15" i="110" s="1"/>
  <c r="D22" i="94"/>
  <c r="E22" i="94"/>
  <c r="F22" i="94"/>
  <c r="L8" i="93"/>
  <c r="L10" i="93" s="1"/>
  <c r="C22" i="94"/>
  <c r="E8" i="96"/>
  <c r="O8" i="96" s="1"/>
  <c r="F11" i="103" l="1"/>
  <c r="D11" i="103" s="1"/>
  <c r="D10" i="103"/>
  <c r="K15" i="108"/>
  <c r="K5" i="38"/>
  <c r="K23" i="18"/>
  <c r="J8" i="50"/>
  <c r="J15" i="108"/>
  <c r="J5" i="38"/>
  <c r="J23" i="18"/>
  <c r="I8" i="50"/>
  <c r="M5" i="38"/>
  <c r="M5" i="39" s="1"/>
  <c r="M10" i="39" s="1"/>
  <c r="M23" i="18"/>
  <c r="M15" i="108"/>
  <c r="L8" i="50"/>
  <c r="L15" i="108"/>
  <c r="L5" i="38"/>
  <c r="L23" i="18"/>
  <c r="K8" i="50"/>
  <c r="G5" i="38"/>
  <c r="G5" i="39" s="1"/>
  <c r="G10" i="39" s="1"/>
  <c r="G23" i="18"/>
  <c r="G15" i="108"/>
  <c r="F8" i="50"/>
  <c r="I15" i="108"/>
  <c r="I5" i="38"/>
  <c r="I23" i="18"/>
  <c r="H8" i="50"/>
  <c r="H15" i="108"/>
  <c r="H5" i="38"/>
  <c r="H23" i="18"/>
  <c r="G8" i="50"/>
  <c r="O6" i="96"/>
  <c r="L7" i="93"/>
  <c r="F7" i="103" l="1"/>
  <c r="H5" i="39"/>
  <c r="I5" i="39"/>
  <c r="L5" i="39"/>
  <c r="J5" i="39"/>
  <c r="K5" i="39"/>
  <c r="O20" i="96"/>
  <c r="D7" i="103" l="1"/>
  <c r="F15" i="103"/>
  <c r="J10" i="39"/>
  <c r="I10" i="39"/>
  <c r="H10" i="39"/>
  <c r="K10" i="39"/>
  <c r="L10" i="39"/>
  <c r="O23" i="96" l="1"/>
  <c r="N8" i="18" l="1"/>
  <c r="N13" i="39"/>
  <c r="O19" i="96" l="1"/>
  <c r="E44" i="6" l="1"/>
  <c r="F44" i="6" s="1"/>
  <c r="N26" i="17" l="1"/>
  <c r="N6" i="56" s="1"/>
  <c r="N14" i="56" s="1"/>
  <c r="N25" i="18" l="1"/>
  <c r="N12" i="39"/>
  <c r="N5" i="56"/>
  <c r="N13" i="56" l="1"/>
  <c r="P48" i="100" s="1"/>
  <c r="E4" i="6" l="1"/>
  <c r="C3" i="107" l="1"/>
  <c r="F12" i="107" l="1"/>
  <c r="F11" i="107" s="1"/>
  <c r="G12" i="107"/>
  <c r="G11" i="107" s="1"/>
  <c r="I12" i="107"/>
  <c r="I11" i="107" s="1"/>
  <c r="H12" i="107"/>
  <c r="H11" i="107" s="1"/>
  <c r="K12" i="107"/>
  <c r="K11" i="107" s="1"/>
  <c r="J12" i="107"/>
  <c r="J11" i="107" s="1"/>
  <c r="L12" i="107"/>
  <c r="L11" i="107" s="1"/>
  <c r="M12" i="107"/>
  <c r="M11" i="107" s="1"/>
  <c r="E12" i="107"/>
  <c r="Q12" i="107"/>
  <c r="Q11" i="107" s="1"/>
  <c r="T12" i="107"/>
  <c r="T11" i="107" s="1"/>
  <c r="O12" i="107"/>
  <c r="O11" i="107" s="1"/>
  <c r="P12" i="107"/>
  <c r="P11" i="107" s="1"/>
  <c r="R12" i="107"/>
  <c r="R11" i="107" s="1"/>
  <c r="W12" i="107"/>
  <c r="W11" i="107" s="1"/>
  <c r="N12" i="107"/>
  <c r="N11" i="107" s="1"/>
  <c r="S12" i="107"/>
  <c r="S11" i="107" s="1"/>
  <c r="U12" i="107"/>
  <c r="U11" i="107" s="1"/>
  <c r="V12" i="107"/>
  <c r="V11" i="107" s="1"/>
  <c r="E16" i="100"/>
  <c r="E17" i="100"/>
  <c r="E18" i="100"/>
  <c r="E21" i="100"/>
  <c r="E22" i="100"/>
  <c r="E23" i="100"/>
  <c r="N22" i="17"/>
  <c r="C12" i="107" l="1"/>
  <c r="E11" i="107"/>
  <c r="C11" i="107"/>
  <c r="AC16" i="96"/>
  <c r="N28" i="96" l="1"/>
  <c r="H63" i="95"/>
  <c r="H37" i="95" s="1"/>
  <c r="H7" i="96" l="1"/>
  <c r="K27" i="100" s="1"/>
  <c r="K25" i="100" s="1"/>
  <c r="K30" i="100" s="1"/>
  <c r="G7" i="96"/>
  <c r="J27" i="100" s="1"/>
  <c r="I7" i="96"/>
  <c r="L27" i="100" s="1"/>
  <c r="L25" i="100" s="1"/>
  <c r="L30" i="100" s="1"/>
  <c r="F7" i="96"/>
  <c r="I27" i="100" s="1"/>
  <c r="E7" i="96"/>
  <c r="H27" i="100" s="1"/>
  <c r="M7" i="96"/>
  <c r="P27" i="100" s="1"/>
  <c r="L7" i="96"/>
  <c r="O27" i="100" s="1"/>
  <c r="O25" i="100" s="1"/>
  <c r="O30" i="100" s="1"/>
  <c r="K7" i="96"/>
  <c r="N27" i="100" s="1"/>
  <c r="N25" i="100" s="1"/>
  <c r="N30" i="100" s="1"/>
  <c r="J7" i="96"/>
  <c r="M27" i="100" s="1"/>
  <c r="M25" i="100" s="1"/>
  <c r="M30" i="100" s="1"/>
  <c r="N7" i="96"/>
  <c r="D12" i="94"/>
  <c r="C12" i="94"/>
  <c r="H68" i="95"/>
  <c r="E12" i="94"/>
  <c r="F12" i="94"/>
  <c r="J18" i="96" l="1"/>
  <c r="J16" i="96" s="1"/>
  <c r="K7" i="17" s="1"/>
  <c r="K19" i="108" s="1"/>
  <c r="K18" i="96"/>
  <c r="K14" i="96" s="1"/>
  <c r="H18" i="96"/>
  <c r="H16" i="96" s="1"/>
  <c r="I7" i="17" s="1"/>
  <c r="I19" i="108" s="1"/>
  <c r="I18" i="96"/>
  <c r="I16" i="96" s="1"/>
  <c r="J7" i="17" s="1"/>
  <c r="J19" i="108" s="1"/>
  <c r="L9" i="38"/>
  <c r="L15" i="18"/>
  <c r="J9" i="38"/>
  <c r="J15" i="18"/>
  <c r="M9" i="38"/>
  <c r="M15" i="18"/>
  <c r="G9" i="38"/>
  <c r="G15" i="18"/>
  <c r="J25" i="100"/>
  <c r="H9" i="38"/>
  <c r="H15" i="18"/>
  <c r="K9" i="38"/>
  <c r="K15" i="18"/>
  <c r="I9" i="38"/>
  <c r="I15" i="18"/>
  <c r="G18" i="96"/>
  <c r="G14" i="96" s="1"/>
  <c r="F18" i="96"/>
  <c r="F14" i="96" s="1"/>
  <c r="M18" i="96"/>
  <c r="M14" i="96" s="1"/>
  <c r="L18" i="96"/>
  <c r="L14" i="96" s="1"/>
  <c r="E18" i="96"/>
  <c r="O7" i="96"/>
  <c r="K13" i="96"/>
  <c r="F13" i="96"/>
  <c r="L13" i="96"/>
  <c r="G13" i="96"/>
  <c r="M13" i="96"/>
  <c r="D15" i="94"/>
  <c r="D3" i="94" s="1"/>
  <c r="E15" i="94"/>
  <c r="E3" i="94" s="1"/>
  <c r="C15" i="94"/>
  <c r="C3" i="94" s="1"/>
  <c r="F15" i="94"/>
  <c r="F24" i="94" s="1"/>
  <c r="D23" i="94"/>
  <c r="F23" i="94"/>
  <c r="E23" i="94"/>
  <c r="C23" i="94"/>
  <c r="J14" i="96" l="1"/>
  <c r="H14" i="96"/>
  <c r="I14" i="96"/>
  <c r="E14" i="96"/>
  <c r="O18" i="96"/>
  <c r="E27" i="100"/>
  <c r="G16" i="96"/>
  <c r="O17" i="96"/>
  <c r="L16" i="96"/>
  <c r="M7" i="17" s="1"/>
  <c r="M19" i="108" s="1"/>
  <c r="F16" i="96"/>
  <c r="K16" i="96"/>
  <c r="L7" i="17" s="1"/>
  <c r="L19" i="108" s="1"/>
  <c r="F3" i="94"/>
  <c r="C24" i="94"/>
  <c r="E24" i="94"/>
  <c r="D24" i="94"/>
  <c r="L28" i="96" l="1"/>
  <c r="L6" i="50"/>
  <c r="M20" i="17"/>
  <c r="M21" i="18"/>
  <c r="K28" i="96"/>
  <c r="L21" i="18"/>
  <c r="K6" i="50"/>
  <c r="L20" i="17"/>
  <c r="G28" i="96"/>
  <c r="G6" i="50"/>
  <c r="H7" i="17"/>
  <c r="H21" i="18"/>
  <c r="F28" i="96"/>
  <c r="F6" i="50"/>
  <c r="G7" i="17"/>
  <c r="G21" i="18"/>
  <c r="J28" i="96"/>
  <c r="J6" i="50"/>
  <c r="K20" i="17"/>
  <c r="K21" i="18"/>
  <c r="H28" i="96"/>
  <c r="H6" i="50"/>
  <c r="I20" i="17"/>
  <c r="I21" i="18"/>
  <c r="I28" i="96"/>
  <c r="I6" i="50"/>
  <c r="J20" i="17"/>
  <c r="J21" i="18"/>
  <c r="O13" i="96"/>
  <c r="G20" i="17" l="1"/>
  <c r="G19" i="108"/>
  <c r="H20" i="17"/>
  <c r="H19" i="108"/>
  <c r="I5" i="50"/>
  <c r="I36" i="16"/>
  <c r="J4" i="39"/>
  <c r="J3" i="39" s="1"/>
  <c r="J4" i="38"/>
  <c r="J3" i="38" s="1"/>
  <c r="J6" i="18"/>
  <c r="J5" i="18" s="1"/>
  <c r="E18" i="94"/>
  <c r="C18" i="94"/>
  <c r="C20" i="94" s="1"/>
  <c r="E20" i="94" l="1"/>
  <c r="J5" i="50" l="1"/>
  <c r="J36" i="16"/>
  <c r="K36" i="16"/>
  <c r="K5" i="50"/>
  <c r="I4" i="38"/>
  <c r="I3" i="38" s="1"/>
  <c r="H36" i="16"/>
  <c r="H5" i="50"/>
  <c r="K4" i="38"/>
  <c r="K3" i="38" s="1"/>
  <c r="K4" i="39"/>
  <c r="K3" i="39" s="1"/>
  <c r="K6" i="18"/>
  <c r="K5" i="18" s="1"/>
  <c r="L4" i="39"/>
  <c r="L3" i="39" s="1"/>
  <c r="L4" i="38"/>
  <c r="L3" i="38" s="1"/>
  <c r="L6" i="18"/>
  <c r="L5" i="18" s="1"/>
  <c r="N17" i="96"/>
  <c r="G26" i="100"/>
  <c r="E15" i="18"/>
  <c r="E9" i="38"/>
  <c r="D22" i="96"/>
  <c r="I6" i="18" l="1"/>
  <c r="I5" i="18" s="1"/>
  <c r="I4" i="39"/>
  <c r="I3" i="39" s="1"/>
  <c r="D21" i="96"/>
  <c r="G25" i="100"/>
  <c r="E23" i="18" l="1"/>
  <c r="E5" i="38"/>
  <c r="D8" i="50"/>
  <c r="E15" i="108"/>
  <c r="D16" i="96"/>
  <c r="E5" i="39" l="1"/>
  <c r="D6" i="50"/>
  <c r="E21" i="18"/>
  <c r="D28" i="96"/>
  <c r="E7" i="17"/>
  <c r="D29" i="96" l="1"/>
  <c r="E14" i="17"/>
  <c r="E20" i="17"/>
  <c r="E10" i="39"/>
  <c r="E27" i="17" l="1"/>
  <c r="F6" i="17"/>
  <c r="F19" i="17" l="1"/>
  <c r="G24" i="100" l="1"/>
  <c r="G44" i="100" s="1"/>
  <c r="G15" i="100"/>
  <c r="D7" i="16"/>
  <c r="D5" i="50"/>
  <c r="D36" i="16"/>
  <c r="D3" i="57"/>
  <c r="G20" i="100" l="1"/>
  <c r="G30" i="100" s="1"/>
  <c r="G32" i="100" s="1"/>
  <c r="G42" i="100"/>
  <c r="E4" i="38"/>
  <c r="E4" i="39"/>
  <c r="E6" i="18"/>
  <c r="G33" i="100" l="1"/>
  <c r="E5" i="18"/>
  <c r="E3" i="39"/>
  <c r="E3" i="38"/>
  <c r="H26" i="100" l="1"/>
  <c r="F15" i="18"/>
  <c r="F9" i="38"/>
  <c r="E16" i="96"/>
  <c r="E22" i="96"/>
  <c r="F7" i="17" l="1"/>
  <c r="E21" i="96"/>
  <c r="F21" i="18"/>
  <c r="E6" i="50"/>
  <c r="E28" i="96"/>
  <c r="H25" i="100"/>
  <c r="F15" i="108" l="1"/>
  <c r="F15" i="110"/>
  <c r="F20" i="17"/>
  <c r="F19" i="108"/>
  <c r="I29" i="96"/>
  <c r="I15" i="96" s="1"/>
  <c r="H29" i="96"/>
  <c r="H15" i="96" s="1"/>
  <c r="G29" i="96"/>
  <c r="G15" i="96" s="1"/>
  <c r="G9" i="96" s="1"/>
  <c r="G5" i="96" s="1"/>
  <c r="H5" i="102" s="1"/>
  <c r="F14" i="17"/>
  <c r="G6" i="17" s="1"/>
  <c r="F5" i="38"/>
  <c r="F5" i="39" s="1"/>
  <c r="E8" i="50"/>
  <c r="K29" i="96"/>
  <c r="K15" i="96" s="1"/>
  <c r="J29" i="96"/>
  <c r="J15" i="96" s="1"/>
  <c r="F29" i="96"/>
  <c r="F15" i="96" s="1"/>
  <c r="L29" i="96"/>
  <c r="E29" i="96"/>
  <c r="F23" i="18"/>
  <c r="H9" i="96" l="1"/>
  <c r="H12" i="96"/>
  <c r="I14" i="110" s="1"/>
  <c r="I13" i="110" s="1"/>
  <c r="G14" i="17"/>
  <c r="G19" i="17"/>
  <c r="F27" i="17"/>
  <c r="F9" i="96"/>
  <c r="F12" i="96"/>
  <c r="G14" i="110" s="1"/>
  <c r="G13" i="110" s="1"/>
  <c r="K9" i="96"/>
  <c r="L8" i="17" s="1"/>
  <c r="L12" i="17" s="1"/>
  <c r="K12" i="96"/>
  <c r="L14" i="110" s="1"/>
  <c r="L13" i="110" s="1"/>
  <c r="J12" i="96"/>
  <c r="K14" i="110" s="1"/>
  <c r="K13" i="110" s="1"/>
  <c r="J9" i="96"/>
  <c r="G12" i="96"/>
  <c r="I9" i="96"/>
  <c r="I12" i="96"/>
  <c r="F10" i="39"/>
  <c r="I16" i="103" l="1"/>
  <c r="H14" i="110"/>
  <c r="H13" i="110" s="1"/>
  <c r="K16" i="103"/>
  <c r="J14" i="110"/>
  <c r="J13" i="110" s="1"/>
  <c r="L16" i="103"/>
  <c r="J16" i="103"/>
  <c r="J5" i="96"/>
  <c r="K8" i="17"/>
  <c r="K12" i="17" s="1"/>
  <c r="I5" i="96"/>
  <c r="J8" i="17"/>
  <c r="J12" i="17" s="1"/>
  <c r="H5" i="96"/>
  <c r="I8" i="17"/>
  <c r="I12" i="17" s="1"/>
  <c r="I16" i="18"/>
  <c r="I14" i="18" s="1"/>
  <c r="I12" i="18" s="1"/>
  <c r="J11" i="96"/>
  <c r="K13" i="108"/>
  <c r="K14" i="103"/>
  <c r="K13" i="103" s="1"/>
  <c r="K12" i="103" s="1"/>
  <c r="K9" i="39"/>
  <c r="K20" i="18"/>
  <c r="K19" i="18" s="1"/>
  <c r="J7" i="50"/>
  <c r="J3" i="50" s="1"/>
  <c r="F5" i="96"/>
  <c r="G16" i="18"/>
  <c r="G14" i="18" s="1"/>
  <c r="G12" i="18" s="1"/>
  <c r="G8" i="17"/>
  <c r="H13" i="102"/>
  <c r="H16" i="18"/>
  <c r="H14" i="18" s="1"/>
  <c r="H12" i="18" s="1"/>
  <c r="H8" i="17"/>
  <c r="I11" i="96"/>
  <c r="J14" i="103"/>
  <c r="J13" i="103" s="1"/>
  <c r="J9" i="39"/>
  <c r="J13" i="108"/>
  <c r="I7" i="50"/>
  <c r="I3" i="50" s="1"/>
  <c r="J20" i="18"/>
  <c r="J19" i="18" s="1"/>
  <c r="K11" i="96"/>
  <c r="L14" i="103"/>
  <c r="L13" i="103" s="1"/>
  <c r="L12" i="103" s="1"/>
  <c r="L13" i="108"/>
  <c r="L9" i="39"/>
  <c r="L20" i="18"/>
  <c r="L19" i="18" s="1"/>
  <c r="K7" i="50"/>
  <c r="K3" i="50" s="1"/>
  <c r="J16" i="18"/>
  <c r="J14" i="18" s="1"/>
  <c r="J12" i="18" s="1"/>
  <c r="K5" i="96"/>
  <c r="L16" i="18"/>
  <c r="L14" i="18" s="1"/>
  <c r="L12" i="18" s="1"/>
  <c r="H11" i="96"/>
  <c r="I13" i="108"/>
  <c r="I14" i="103"/>
  <c r="I13" i="103" s="1"/>
  <c r="I12" i="103" s="1"/>
  <c r="I9" i="39"/>
  <c r="I20" i="18"/>
  <c r="I19" i="18" s="1"/>
  <c r="H7" i="50"/>
  <c r="H3" i="50" s="1"/>
  <c r="G11" i="96"/>
  <c r="H13" i="108"/>
  <c r="H20" i="18"/>
  <c r="H19" i="18" s="1"/>
  <c r="H9" i="39"/>
  <c r="H14" i="103"/>
  <c r="H13" i="103" s="1"/>
  <c r="G7" i="50"/>
  <c r="K16" i="18"/>
  <c r="K14" i="18" s="1"/>
  <c r="K12" i="18" s="1"/>
  <c r="F11" i="96"/>
  <c r="G13" i="108"/>
  <c r="H16" i="103"/>
  <c r="G14" i="103"/>
  <c r="G13" i="103" s="1"/>
  <c r="G9" i="39"/>
  <c r="G20" i="18"/>
  <c r="G19" i="18" s="1"/>
  <c r="F7" i="50"/>
  <c r="H6" i="17"/>
  <c r="G27" i="17"/>
  <c r="L5" i="102" l="1"/>
  <c r="L13" i="102" s="1"/>
  <c r="I5" i="102"/>
  <c r="I13" i="102" s="1"/>
  <c r="K5" i="102"/>
  <c r="K13" i="102" s="1"/>
  <c r="J5" i="102"/>
  <c r="J13" i="102" s="1"/>
  <c r="G5" i="102"/>
  <c r="G13" i="102" s="1"/>
  <c r="J12" i="103"/>
  <c r="L21" i="17"/>
  <c r="L25" i="17"/>
  <c r="K18" i="50" s="1"/>
  <c r="J25" i="17"/>
  <c r="I18" i="50" s="1"/>
  <c r="J21" i="17"/>
  <c r="H12" i="103"/>
  <c r="I21" i="17"/>
  <c r="I25" i="17"/>
  <c r="H18" i="50" s="1"/>
  <c r="K25" i="17"/>
  <c r="J18" i="50" s="1"/>
  <c r="K21" i="17"/>
  <c r="G21" i="17"/>
  <c r="G12" i="17"/>
  <c r="H12" i="17"/>
  <c r="H21" i="17"/>
  <c r="H14" i="17"/>
  <c r="I6" i="17" s="1"/>
  <c r="H19" i="17"/>
  <c r="G10" i="17" l="1"/>
  <c r="G23" i="17" s="1"/>
  <c r="G7" i="108" s="1"/>
  <c r="G25" i="17"/>
  <c r="F18" i="50" s="1"/>
  <c r="H25" i="17"/>
  <c r="G18" i="50" s="1"/>
  <c r="H10" i="17"/>
  <c r="H23" i="17" s="1"/>
  <c r="H7" i="108" s="1"/>
  <c r="H27" i="17"/>
  <c r="H24" i="100" l="1"/>
  <c r="H44" i="100" s="1"/>
  <c r="H15" i="100"/>
  <c r="E36" i="16"/>
  <c r="E7" i="16"/>
  <c r="E5" i="50"/>
  <c r="E3" i="57"/>
  <c r="H42" i="100" l="1"/>
  <c r="H20" i="100"/>
  <c r="H30" i="100" s="1"/>
  <c r="F6" i="18"/>
  <c r="F4" i="38"/>
  <c r="F4" i="39"/>
  <c r="H33" i="100" l="1"/>
  <c r="H32" i="100"/>
  <c r="F3" i="38"/>
  <c r="F3" i="39"/>
  <c r="F5" i="18"/>
  <c r="H35" i="100" l="1"/>
  <c r="H36" i="100"/>
  <c r="I25" i="100"/>
  <c r="L5" i="50" l="1"/>
  <c r="L36" i="16"/>
  <c r="M6" i="18" l="1"/>
  <c r="M5" i="18" s="1"/>
  <c r="M4" i="39"/>
  <c r="M3" i="39" s="1"/>
  <c r="M4" i="38"/>
  <c r="M3" i="38" s="1"/>
  <c r="P26" i="100" l="1"/>
  <c r="P25" i="100" s="1"/>
  <c r="P30" i="100" s="1"/>
  <c r="C13" i="50"/>
  <c r="N15" i="18"/>
  <c r="D15" i="18" s="1"/>
  <c r="N9" i="38"/>
  <c r="M22" i="96"/>
  <c r="F26" i="100" l="1"/>
  <c r="O14" i="96"/>
  <c r="E26" i="100"/>
  <c r="M16" i="96"/>
  <c r="D9" i="38"/>
  <c r="O22" i="96"/>
  <c r="M21" i="96"/>
  <c r="N15" i="110" s="1"/>
  <c r="D15" i="110" s="1"/>
  <c r="O16" i="96" l="1"/>
  <c r="N7" i="17"/>
  <c r="N19" i="108" s="1"/>
  <c r="D19" i="108" s="1"/>
  <c r="M8" i="50"/>
  <c r="C8" i="50" s="1"/>
  <c r="N23" i="18"/>
  <c r="D23" i="18" s="1"/>
  <c r="N5" i="38"/>
  <c r="N15" i="108"/>
  <c r="D15" i="108" s="1"/>
  <c r="O21" i="96"/>
  <c r="M6" i="50"/>
  <c r="C6" i="50" s="1"/>
  <c r="N21" i="18"/>
  <c r="D21" i="18" s="1"/>
  <c r="E15" i="96"/>
  <c r="L15" i="96"/>
  <c r="L9" i="96" s="1"/>
  <c r="M8" i="17" s="1"/>
  <c r="M12" i="17" s="1"/>
  <c r="M28" i="96"/>
  <c r="M16" i="18" l="1"/>
  <c r="M14" i="18" s="1"/>
  <c r="M12" i="18" s="1"/>
  <c r="M29" i="96"/>
  <c r="O29" i="96" s="1"/>
  <c r="L12" i="96"/>
  <c r="M14" i="110" s="1"/>
  <c r="M13" i="110" s="1"/>
  <c r="D7" i="17"/>
  <c r="D20" i="17" s="1"/>
  <c r="N20" i="17"/>
  <c r="D5" i="38"/>
  <c r="N5" i="39"/>
  <c r="D9" i="96"/>
  <c r="D12" i="96"/>
  <c r="L29" i="93"/>
  <c r="E9" i="96"/>
  <c r="E12" i="96"/>
  <c r="F14" i="110" s="1"/>
  <c r="F13" i="110" l="1"/>
  <c r="M16" i="103"/>
  <c r="E11" i="96"/>
  <c r="G16" i="103"/>
  <c r="G12" i="103" s="1"/>
  <c r="M21" i="17"/>
  <c r="M25" i="17"/>
  <c r="L18" i="50" s="1"/>
  <c r="L11" i="96"/>
  <c r="M13" i="108"/>
  <c r="M14" i="103"/>
  <c r="M13" i="103" s="1"/>
  <c r="M9" i="39"/>
  <c r="M20" i="18"/>
  <c r="M19" i="18" s="1"/>
  <c r="L7" i="50"/>
  <c r="L3" i="50" s="1"/>
  <c r="D15" i="103"/>
  <c r="D11" i="96"/>
  <c r="M15" i="96"/>
  <c r="E16" i="18"/>
  <c r="E8" i="17"/>
  <c r="D5" i="96"/>
  <c r="D5" i="39"/>
  <c r="N10" i="39"/>
  <c r="D10" i="39" s="1"/>
  <c r="L5" i="96"/>
  <c r="D7" i="50"/>
  <c r="E20" i="18"/>
  <c r="E14" i="103"/>
  <c r="E9" i="39"/>
  <c r="E16" i="103"/>
  <c r="F16" i="103"/>
  <c r="F20" i="18"/>
  <c r="F19" i="18" s="1"/>
  <c r="F14" i="103"/>
  <c r="F13" i="103" s="1"/>
  <c r="F13" i="108"/>
  <c r="E7" i="50"/>
  <c r="E3" i="50" s="1"/>
  <c r="F9" i="39"/>
  <c r="F16" i="18"/>
  <c r="F14" i="18" s="1"/>
  <c r="F12" i="18" s="1"/>
  <c r="F8" i="17"/>
  <c r="E5" i="96"/>
  <c r="F5" i="102" s="1"/>
  <c r="M5" i="102" l="1"/>
  <c r="M13" i="102" s="1"/>
  <c r="M12" i="103"/>
  <c r="D26" i="103"/>
  <c r="R26" i="93" s="1"/>
  <c r="M9" i="96"/>
  <c r="N8" i="17" s="1"/>
  <c r="N12" i="17" s="1"/>
  <c r="M12" i="96"/>
  <c r="N14" i="110" s="1"/>
  <c r="F12" i="103"/>
  <c r="F12" i="17"/>
  <c r="F21" i="17"/>
  <c r="E12" i="17"/>
  <c r="E21" i="17"/>
  <c r="D3" i="50"/>
  <c r="E13" i="103"/>
  <c r="E13" i="108"/>
  <c r="E19" i="18"/>
  <c r="E14" i="18"/>
  <c r="N13" i="110" l="1"/>
  <c r="D13" i="110" s="1"/>
  <c r="D14" i="110"/>
  <c r="O16" i="103"/>
  <c r="O12" i="103" s="1"/>
  <c r="N16" i="103"/>
  <c r="F13" i="102"/>
  <c r="H6" i="102"/>
  <c r="H14" i="102" s="1"/>
  <c r="M11" i="96"/>
  <c r="N20" i="18"/>
  <c r="N14" i="103"/>
  <c r="M7" i="50"/>
  <c r="N9" i="39"/>
  <c r="N16" i="18"/>
  <c r="M5" i="96"/>
  <c r="E12" i="103"/>
  <c r="E10" i="17"/>
  <c r="E25" i="17"/>
  <c r="E13" i="102"/>
  <c r="E12" i="18"/>
  <c r="F10" i="17"/>
  <c r="F23" i="17" s="1"/>
  <c r="F7" i="108" s="1"/>
  <c r="F25" i="17"/>
  <c r="E18" i="50" s="1"/>
  <c r="D39" i="110" l="1"/>
  <c r="D64" i="110"/>
  <c r="N5" i="102"/>
  <c r="N13" i="102" s="1"/>
  <c r="N21" i="17"/>
  <c r="N13" i="103"/>
  <c r="N12" i="103" s="1"/>
  <c r="N14" i="18"/>
  <c r="N19" i="18"/>
  <c r="N13" i="108"/>
  <c r="E23" i="17"/>
  <c r="N12" i="18" l="1"/>
  <c r="N25" i="17"/>
  <c r="M18" i="50" s="1"/>
  <c r="M36" i="16"/>
  <c r="M5" i="50"/>
  <c r="N4" i="39"/>
  <c r="N6" i="18" l="1"/>
  <c r="N4" i="38"/>
  <c r="M3" i="50"/>
  <c r="N3" i="38" l="1"/>
  <c r="N3" i="39"/>
  <c r="N5" i="18"/>
  <c r="R5" i="50" l="1"/>
  <c r="R3" i="50" s="1"/>
  <c r="R36" i="16"/>
  <c r="W5" i="50"/>
  <c r="W36" i="16"/>
  <c r="U5" i="50"/>
  <c r="U3" i="50" s="1"/>
  <c r="U36" i="16"/>
  <c r="P5" i="50"/>
  <c r="P3" i="50" s="1"/>
  <c r="P36" i="16"/>
  <c r="S5" i="50"/>
  <c r="S3" i="50" s="1"/>
  <c r="S36" i="16"/>
  <c r="Q5" i="50"/>
  <c r="Q3" i="50" s="1"/>
  <c r="Q36" i="16"/>
  <c r="T5" i="50"/>
  <c r="T3" i="50" s="1"/>
  <c r="T36" i="16"/>
  <c r="O5" i="50"/>
  <c r="O3" i="50" s="1"/>
  <c r="O36" i="16"/>
  <c r="V5" i="50"/>
  <c r="V3" i="50" s="1"/>
  <c r="V36" i="16"/>
  <c r="V24" i="100" l="1"/>
  <c r="V44" i="100" s="1"/>
  <c r="X24" i="100"/>
  <c r="X44" i="100" s="1"/>
  <c r="X42" i="100" s="1"/>
  <c r="Z24" i="100"/>
  <c r="Z20" i="100" s="1"/>
  <c r="W24" i="100"/>
  <c r="W20" i="100" s="1"/>
  <c r="Y24" i="100"/>
  <c r="Y44" i="100" s="1"/>
  <c r="Y42" i="100" s="1"/>
  <c r="Y15" i="100"/>
  <c r="W15" i="100"/>
  <c r="T6" i="18"/>
  <c r="T5" i="18" s="1"/>
  <c r="T4" i="39"/>
  <c r="T3" i="39" s="1"/>
  <c r="T4" i="38"/>
  <c r="T3" i="38" s="1"/>
  <c r="Q6" i="18"/>
  <c r="Q5" i="18" s="1"/>
  <c r="Q4" i="39"/>
  <c r="Q3" i="39" s="1"/>
  <c r="Q4" i="38"/>
  <c r="Q3" i="38" s="1"/>
  <c r="X15" i="100"/>
  <c r="X6" i="18"/>
  <c r="X5" i="18" s="1"/>
  <c r="X4" i="39"/>
  <c r="X4" i="38"/>
  <c r="U6" i="18"/>
  <c r="U5" i="18" s="1"/>
  <c r="U4" i="39"/>
  <c r="U3" i="39" s="1"/>
  <c r="U4" i="38"/>
  <c r="U3" i="38" s="1"/>
  <c r="T20" i="100"/>
  <c r="T15" i="100"/>
  <c r="V6" i="18"/>
  <c r="V5" i="18" s="1"/>
  <c r="V4" i="39"/>
  <c r="V3" i="39" s="1"/>
  <c r="V4" i="38"/>
  <c r="V3" i="38" s="1"/>
  <c r="S6" i="18"/>
  <c r="S5" i="18" s="1"/>
  <c r="S4" i="39"/>
  <c r="S3" i="39" s="1"/>
  <c r="S4" i="38"/>
  <c r="S3" i="38" s="1"/>
  <c r="R20" i="100"/>
  <c r="R15" i="100"/>
  <c r="V15" i="100"/>
  <c r="S20" i="100"/>
  <c r="S15" i="100"/>
  <c r="Z15" i="100"/>
  <c r="U20" i="100"/>
  <c r="U15" i="100"/>
  <c r="W6" i="18"/>
  <c r="W5" i="18" s="1"/>
  <c r="W4" i="39"/>
  <c r="W3" i="39" s="1"/>
  <c r="W4" i="38"/>
  <c r="W3" i="38" s="1"/>
  <c r="P6" i="18"/>
  <c r="P5" i="18" s="1"/>
  <c r="P4" i="39"/>
  <c r="P3" i="39" s="1"/>
  <c r="P4" i="38"/>
  <c r="P3" i="38" s="1"/>
  <c r="R6" i="18"/>
  <c r="R5" i="18" s="1"/>
  <c r="R4" i="39"/>
  <c r="R3" i="39" s="1"/>
  <c r="R4" i="38"/>
  <c r="R3" i="38" s="1"/>
  <c r="V20" i="100" l="1"/>
  <c r="Y20" i="100"/>
  <c r="W44" i="100"/>
  <c r="W42" i="100" s="1"/>
  <c r="V42" i="100"/>
  <c r="Z44" i="100"/>
  <c r="Z42" i="100" s="1"/>
  <c r="X20" i="100"/>
  <c r="C9" i="107"/>
  <c r="F42" i="100" l="1"/>
  <c r="F44" i="100"/>
  <c r="E44" i="100"/>
  <c r="E42" i="100"/>
  <c r="N5" i="50"/>
  <c r="N36" i="16"/>
  <c r="I39" i="100" l="1"/>
  <c r="I46" i="100" s="1"/>
  <c r="H39" i="100"/>
  <c r="H46" i="100" s="1"/>
  <c r="G39" i="100"/>
  <c r="G46" i="100" s="1"/>
  <c r="K39" i="100"/>
  <c r="K46" i="100" s="1"/>
  <c r="N39" i="100"/>
  <c r="N46" i="100" s="1"/>
  <c r="O39" i="100"/>
  <c r="O46" i="100" s="1"/>
  <c r="M39" i="100"/>
  <c r="M46" i="100" s="1"/>
  <c r="L39" i="100"/>
  <c r="L46" i="100" s="1"/>
  <c r="J39" i="100"/>
  <c r="J46" i="100" s="1"/>
  <c r="P39" i="100"/>
  <c r="P46" i="100" s="1"/>
  <c r="T39" i="100"/>
  <c r="T46" i="100" s="1"/>
  <c r="R39" i="100"/>
  <c r="R46" i="100" s="1"/>
  <c r="U39" i="100"/>
  <c r="U46" i="100" s="1"/>
  <c r="S39" i="100"/>
  <c r="S46" i="100" s="1"/>
  <c r="Q39" i="100"/>
  <c r="Q46" i="100" s="1"/>
  <c r="Y39" i="100"/>
  <c r="Y46" i="100" s="1"/>
  <c r="X39" i="100"/>
  <c r="X46" i="100" s="1"/>
  <c r="W39" i="100"/>
  <c r="W46" i="100" s="1"/>
  <c r="Z39" i="100"/>
  <c r="Z46" i="100" s="1"/>
  <c r="V39" i="100"/>
  <c r="V46" i="100" s="1"/>
  <c r="N3" i="50"/>
  <c r="O6" i="18"/>
  <c r="O4" i="39"/>
  <c r="O4" i="38"/>
  <c r="Q15" i="100"/>
  <c r="V47" i="100" l="1"/>
  <c r="V49" i="100" s="1"/>
  <c r="F39" i="100"/>
  <c r="W47" i="100"/>
  <c r="L47" i="100"/>
  <c r="G47" i="100"/>
  <c r="R47" i="100"/>
  <c r="X47" i="100"/>
  <c r="O47" i="100"/>
  <c r="K47" i="100"/>
  <c r="Y47" i="100"/>
  <c r="T47" i="100"/>
  <c r="I47" i="100"/>
  <c r="M47" i="100"/>
  <c r="P47" i="100"/>
  <c r="S47" i="100"/>
  <c r="U47" i="100"/>
  <c r="Z47" i="100"/>
  <c r="Q47" i="100"/>
  <c r="H47" i="100"/>
  <c r="J47" i="100"/>
  <c r="N47" i="100"/>
  <c r="O3" i="38"/>
  <c r="Q20" i="100"/>
  <c r="O5" i="18"/>
  <c r="O3" i="39"/>
  <c r="F47" i="100" l="1"/>
  <c r="F46" i="100"/>
  <c r="U49" i="100"/>
  <c r="E46" i="100"/>
  <c r="G49" i="100"/>
  <c r="J49" i="100"/>
  <c r="J45" i="100" s="1"/>
  <c r="J50" i="100" s="1"/>
  <c r="J52" i="100" s="1"/>
  <c r="Q49" i="100"/>
  <c r="E47" i="100"/>
  <c r="L49" i="100"/>
  <c r="L45" i="100" s="1"/>
  <c r="L50" i="100" s="1"/>
  <c r="L52" i="100" s="1"/>
  <c r="N49" i="100"/>
  <c r="N45" i="100" s="1"/>
  <c r="N50" i="100" s="1"/>
  <c r="N52" i="100" s="1"/>
  <c r="S49" i="100"/>
  <c r="I49" i="100"/>
  <c r="I45" i="100" s="1"/>
  <c r="I50" i="100" s="1"/>
  <c r="I52" i="100" s="1"/>
  <c r="K49" i="100"/>
  <c r="K45" i="100" s="1"/>
  <c r="K50" i="100" s="1"/>
  <c r="K52" i="100" s="1"/>
  <c r="O49" i="100"/>
  <c r="O45" i="100" s="1"/>
  <c r="O50" i="100" s="1"/>
  <c r="O52" i="100" s="1"/>
  <c r="Y49" i="100"/>
  <c r="X49" i="100"/>
  <c r="M49" i="100"/>
  <c r="M45" i="100" s="1"/>
  <c r="M50" i="100" s="1"/>
  <c r="M52" i="100" s="1"/>
  <c r="H49" i="100"/>
  <c r="H45" i="100" s="1"/>
  <c r="H50" i="100" s="1"/>
  <c r="H52" i="100" s="1"/>
  <c r="Z49" i="100"/>
  <c r="P49" i="100"/>
  <c r="P45" i="100" s="1"/>
  <c r="P50" i="100" s="1"/>
  <c r="P52" i="100" s="1"/>
  <c r="T49" i="100"/>
  <c r="R49" i="100"/>
  <c r="W49" i="100"/>
  <c r="I10" i="17"/>
  <c r="I23" i="17" s="1"/>
  <c r="I7" i="108" s="1"/>
  <c r="J10" i="17"/>
  <c r="J23" i="17" s="1"/>
  <c r="J7" i="108" s="1"/>
  <c r="K10" i="17"/>
  <c r="K23" i="17" s="1"/>
  <c r="K7" i="108" s="1"/>
  <c r="L10" i="17"/>
  <c r="L23" i="17" s="1"/>
  <c r="L7" i="108" s="1"/>
  <c r="M10" i="17"/>
  <c r="M23" i="17" s="1"/>
  <c r="M7" i="108" s="1"/>
  <c r="N10" i="17"/>
  <c r="N23" i="17" s="1"/>
  <c r="N7" i="108" s="1"/>
  <c r="I24" i="17"/>
  <c r="I26" i="18" s="1"/>
  <c r="J24" i="17"/>
  <c r="K24" i="17"/>
  <c r="L24" i="17"/>
  <c r="M24" i="17"/>
  <c r="N24" i="17"/>
  <c r="G45" i="100" l="1"/>
  <c r="G50" i="100" s="1"/>
  <c r="G52" i="100" s="1"/>
  <c r="F49" i="100"/>
  <c r="N6" i="6"/>
  <c r="O51" i="100"/>
  <c r="O6" i="6"/>
  <c r="P51" i="100"/>
  <c r="N51" i="100"/>
  <c r="M6" i="6"/>
  <c r="G6" i="6"/>
  <c r="H51" i="100"/>
  <c r="I51" i="100"/>
  <c r="H6" i="6"/>
  <c r="K6" i="6"/>
  <c r="L51" i="100"/>
  <c r="I6" i="6"/>
  <c r="J51" i="100"/>
  <c r="J6" i="6"/>
  <c r="K51" i="100"/>
  <c r="M51" i="100"/>
  <c r="L6" i="6"/>
  <c r="E49" i="100"/>
  <c r="N26" i="18"/>
  <c r="N11" i="39"/>
  <c r="J26" i="18"/>
  <c r="J11" i="39"/>
  <c r="M11" i="39"/>
  <c r="M26" i="18"/>
  <c r="I11" i="39"/>
  <c r="L26" i="18"/>
  <c r="L11" i="39"/>
  <c r="K26" i="18"/>
  <c r="K11" i="39"/>
  <c r="I14" i="17" l="1"/>
  <c r="J6" i="17" s="1"/>
  <c r="F6" i="6" l="1"/>
  <c r="I19" i="17"/>
  <c r="J14" i="17"/>
  <c r="K6" i="17" s="1"/>
  <c r="I27" i="17" l="1"/>
  <c r="J19" i="17" l="1"/>
  <c r="K14" i="17"/>
  <c r="L6" i="17" s="1"/>
  <c r="J27" i="17" l="1"/>
  <c r="K19" i="17" l="1"/>
  <c r="L14" i="17"/>
  <c r="M6" i="17" s="1"/>
  <c r="K27" i="17" l="1"/>
  <c r="L19" i="17" l="1"/>
  <c r="M14" i="17" l="1"/>
  <c r="N6" i="17" s="1"/>
  <c r="L27" i="17"/>
  <c r="M19" i="17" l="1"/>
  <c r="M27" i="17" l="1"/>
  <c r="N14" i="17"/>
  <c r="O6" i="17" s="1"/>
  <c r="N19" i="17" l="1"/>
  <c r="N27" i="17" l="1"/>
  <c r="R53" i="93" s="1"/>
  <c r="W10" i="17" l="1"/>
  <c r="W23" i="17" s="1"/>
  <c r="W7" i="108" s="1"/>
  <c r="T10" i="17"/>
  <c r="T23" i="17" s="1"/>
  <c r="T7" i="108" s="1"/>
  <c r="X10" i="17"/>
  <c r="X23" i="17" s="1"/>
  <c r="X7" i="108" s="1"/>
  <c r="U10" i="17"/>
  <c r="U23" i="17" s="1"/>
  <c r="U7" i="108" s="1"/>
  <c r="V10" i="17"/>
  <c r="V23" i="17" s="1"/>
  <c r="V7" i="108" s="1"/>
  <c r="Q10" i="17"/>
  <c r="S10" i="17"/>
  <c r="O9" i="17"/>
  <c r="R10" i="17"/>
  <c r="O10" i="17"/>
  <c r="O19" i="17"/>
  <c r="P10" i="17"/>
  <c r="O13" i="17"/>
  <c r="P23" i="17" l="1"/>
  <c r="P7" i="108" s="1"/>
  <c r="R23" i="17"/>
  <c r="R7" i="108" s="1"/>
  <c r="Q23" i="17"/>
  <c r="Q7" i="108" s="1"/>
  <c r="O22" i="17"/>
  <c r="O26" i="17"/>
  <c r="O23" i="17"/>
  <c r="O7" i="108" s="1"/>
  <c r="O11" i="17"/>
  <c r="O14" i="17" s="1"/>
  <c r="P6" i="17" s="1"/>
  <c r="S23" i="17"/>
  <c r="S7" i="108" s="1"/>
  <c r="N18" i="50" l="1"/>
  <c r="O24" i="17"/>
  <c r="N19" i="50" s="1"/>
  <c r="O12" i="39"/>
  <c r="O25" i="18"/>
  <c r="O6" i="56"/>
  <c r="O27" i="17" l="1"/>
  <c r="O5" i="56"/>
  <c r="O14" i="56"/>
  <c r="O26" i="18"/>
  <c r="O11" i="39"/>
  <c r="P13" i="17" l="1"/>
  <c r="P26" i="17" s="1"/>
  <c r="P9" i="17"/>
  <c r="P19" i="17"/>
  <c r="O13" i="56"/>
  <c r="O18" i="50" l="1"/>
  <c r="P11" i="17"/>
  <c r="P22" i="17"/>
  <c r="P24" i="17" l="1"/>
  <c r="O19" i="50" s="1"/>
  <c r="P14" i="17"/>
  <c r="Q6" i="17" s="1"/>
  <c r="P25" i="18"/>
  <c r="P12" i="39"/>
  <c r="P6" i="56"/>
  <c r="P27" i="17" l="1"/>
  <c r="P5" i="56"/>
  <c r="P14" i="56"/>
  <c r="P26" i="18"/>
  <c r="P11" i="39"/>
  <c r="P13" i="56" l="1"/>
  <c r="Q19" i="17"/>
  <c r="Q13" i="17"/>
  <c r="Q9" i="17"/>
  <c r="Q22" i="17" l="1"/>
  <c r="Q26" i="17"/>
  <c r="Q11" i="17"/>
  <c r="P18" i="50" l="1"/>
  <c r="Q24" i="17"/>
  <c r="P19" i="50" s="1"/>
  <c r="Q14" i="17"/>
  <c r="R6" i="17" s="1"/>
  <c r="Q25" i="18"/>
  <c r="Q12" i="39"/>
  <c r="Q6" i="56"/>
  <c r="Q5" i="56" l="1"/>
  <c r="Q14" i="56"/>
  <c r="Q27" i="17"/>
  <c r="Q26" i="18"/>
  <c r="Q11" i="39"/>
  <c r="Q13" i="56" l="1"/>
  <c r="R9" i="17"/>
  <c r="R19" i="17"/>
  <c r="R13" i="17"/>
  <c r="R22" i="17" l="1"/>
  <c r="R26" i="17"/>
  <c r="R11" i="17"/>
  <c r="Q18" i="50" l="1"/>
  <c r="R12" i="39"/>
  <c r="R6" i="56"/>
  <c r="R25" i="18"/>
  <c r="R24" i="17"/>
  <c r="Q19" i="50" s="1"/>
  <c r="R14" i="17"/>
  <c r="S6" i="17" s="1"/>
  <c r="R27" i="17" l="1"/>
  <c r="R26" i="18"/>
  <c r="R11" i="39"/>
  <c r="R14" i="56"/>
  <c r="R5" i="56"/>
  <c r="R13" i="56" l="1"/>
  <c r="S19" i="17" l="1"/>
  <c r="S13" i="17"/>
  <c r="S9" i="17"/>
  <c r="S22" i="17" s="1"/>
  <c r="S26" i="17" l="1"/>
  <c r="S11" i="17"/>
  <c r="R18" i="50" l="1"/>
  <c r="S25" i="18"/>
  <c r="S12" i="39"/>
  <c r="S6" i="56"/>
  <c r="S24" i="17"/>
  <c r="R19" i="50" s="1"/>
  <c r="S14" i="17"/>
  <c r="T6" i="17" s="1"/>
  <c r="S11" i="39" l="1"/>
  <c r="S26" i="18"/>
  <c r="S27" i="17"/>
  <c r="S5" i="56"/>
  <c r="S14" i="56"/>
  <c r="T9" i="17" l="1"/>
  <c r="T22" i="17" s="1"/>
  <c r="T19" i="17"/>
  <c r="T13" i="17"/>
  <c r="S13" i="56"/>
  <c r="T26" i="17" l="1"/>
  <c r="S18" i="50" s="1"/>
  <c r="T11" i="17"/>
  <c r="T24" i="17" l="1"/>
  <c r="S19" i="50" s="1"/>
  <c r="T14" i="17"/>
  <c r="U6" i="17" s="1"/>
  <c r="T6" i="56"/>
  <c r="T25" i="18"/>
  <c r="T12" i="39"/>
  <c r="T5" i="56" l="1"/>
  <c r="T14" i="56"/>
  <c r="T27" i="17"/>
  <c r="T26" i="18"/>
  <c r="T11" i="39"/>
  <c r="U9" i="17" l="1"/>
  <c r="U22" i="17" s="1"/>
  <c r="U19" i="17"/>
  <c r="U13" i="17"/>
  <c r="T13" i="56"/>
  <c r="U26" i="17" l="1"/>
  <c r="T18" i="50" s="1"/>
  <c r="U11" i="17"/>
  <c r="U12" i="39" l="1"/>
  <c r="U25" i="18"/>
  <c r="U6" i="56"/>
  <c r="U24" i="17"/>
  <c r="T19" i="50" s="1"/>
  <c r="U14" i="17"/>
  <c r="V6" i="17" s="1"/>
  <c r="U27" i="17" l="1"/>
  <c r="U5" i="56"/>
  <c r="U14" i="56"/>
  <c r="U26" i="18"/>
  <c r="U11" i="39"/>
  <c r="U13" i="56" l="1"/>
  <c r="V13" i="17"/>
  <c r="V9" i="17"/>
  <c r="V22" i="17" s="1"/>
  <c r="V19" i="17"/>
  <c r="V26" i="17" l="1"/>
  <c r="U18" i="50" s="1"/>
  <c r="V11" i="17"/>
  <c r="V25" i="18" l="1"/>
  <c r="V12" i="39"/>
  <c r="V6" i="56"/>
  <c r="V24" i="17"/>
  <c r="U19" i="50" s="1"/>
  <c r="V14" i="17"/>
  <c r="W6" i="17" s="1"/>
  <c r="V26" i="18" l="1"/>
  <c r="V11" i="39"/>
  <c r="V27" i="17"/>
  <c r="V5" i="56"/>
  <c r="V14" i="56"/>
  <c r="V13" i="56" l="1"/>
  <c r="W19" i="17"/>
  <c r="W13" i="17"/>
  <c r="W9" i="17"/>
  <c r="W22" i="17" s="1"/>
  <c r="W11" i="17" l="1"/>
  <c r="W26" i="17"/>
  <c r="V18" i="50" s="1"/>
  <c r="W25" i="18" l="1"/>
  <c r="W12" i="39"/>
  <c r="W6" i="56"/>
  <c r="W24" i="17"/>
  <c r="V19" i="50" s="1"/>
  <c r="W14" i="17"/>
  <c r="X6" i="17" s="1"/>
  <c r="W5" i="56" l="1"/>
  <c r="W14" i="56"/>
  <c r="W27" i="17"/>
  <c r="W11" i="39"/>
  <c r="W26" i="18"/>
  <c r="X9" i="17" l="1"/>
  <c r="X19" i="17"/>
  <c r="X13" i="17"/>
  <c r="W13" i="56"/>
  <c r="X22" i="17" l="1"/>
  <c r="D9" i="17"/>
  <c r="D22" i="17" s="1"/>
  <c r="X26" i="17"/>
  <c r="X11" i="17"/>
  <c r="D13" i="17"/>
  <c r="D26" i="17" s="1"/>
  <c r="W18" i="50" l="1"/>
  <c r="D60" i="110"/>
  <c r="D72" i="110" s="1"/>
  <c r="D35" i="110"/>
  <c r="D47" i="110" s="1"/>
  <c r="X25" i="18"/>
  <c r="X12" i="39"/>
  <c r="D12" i="39" s="1"/>
  <c r="X6" i="56"/>
  <c r="X24" i="17"/>
  <c r="W19" i="50" s="1"/>
  <c r="D11" i="17"/>
  <c r="D24" i="17" s="1"/>
  <c r="X14" i="17"/>
  <c r="X27" i="17" s="1"/>
  <c r="D25" i="18" l="1"/>
  <c r="C19" i="50"/>
  <c r="X26" i="18"/>
  <c r="D26" i="18" s="1"/>
  <c r="X11" i="39"/>
  <c r="X5" i="56"/>
  <c r="X14" i="56"/>
  <c r="D14" i="56" s="1"/>
  <c r="D6" i="56"/>
  <c r="X13" i="56" l="1"/>
  <c r="D5" i="56"/>
  <c r="D11" i="39"/>
  <c r="D13" i="56" l="1"/>
  <c r="O15" i="96" l="1"/>
  <c r="O12" i="96"/>
  <c r="O11" i="96"/>
  <c r="C7" i="50"/>
  <c r="P16" i="103" l="1"/>
  <c r="P12" i="103" s="1"/>
  <c r="O9" i="96"/>
  <c r="H69" i="95" s="1"/>
  <c r="D9" i="39"/>
  <c r="D20" i="18"/>
  <c r="R3" i="101"/>
  <c r="X3" i="101"/>
  <c r="Z3" i="101"/>
  <c r="W3" i="101"/>
  <c r="S3" i="101"/>
  <c r="U3" i="101"/>
  <c r="L12" i="93"/>
  <c r="T3" i="101"/>
  <c r="V3" i="101"/>
  <c r="Y3" i="101"/>
  <c r="D14" i="103"/>
  <c r="D14" i="108"/>
  <c r="W19" i="93" l="1"/>
  <c r="W18" i="93"/>
  <c r="L19" i="93"/>
  <c r="L22" i="93" s="1"/>
  <c r="W11" i="56"/>
  <c r="Y48" i="100" s="1"/>
  <c r="Y45" i="100" s="1"/>
  <c r="Y50" i="100" s="1"/>
  <c r="Y52" i="100" s="1"/>
  <c r="V6" i="107"/>
  <c r="W3" i="58"/>
  <c r="Q11" i="56"/>
  <c r="S48" i="100" s="1"/>
  <c r="S45" i="100" s="1"/>
  <c r="S50" i="100" s="1"/>
  <c r="S52" i="100" s="1"/>
  <c r="P6" i="107"/>
  <c r="Q3" i="58"/>
  <c r="V11" i="56"/>
  <c r="X48" i="100" s="1"/>
  <c r="X45" i="100" s="1"/>
  <c r="X50" i="100" s="1"/>
  <c r="X52" i="100" s="1"/>
  <c r="U6" i="107"/>
  <c r="V3" i="58"/>
  <c r="T11" i="56"/>
  <c r="V48" i="100" s="1"/>
  <c r="V45" i="100" s="1"/>
  <c r="V50" i="100" s="1"/>
  <c r="V52" i="100" s="1"/>
  <c r="T3" i="58"/>
  <c r="S6" i="107"/>
  <c r="S11" i="56"/>
  <c r="U48" i="100" s="1"/>
  <c r="U45" i="100" s="1"/>
  <c r="U50" i="100" s="1"/>
  <c r="U52" i="100" s="1"/>
  <c r="R6" i="107"/>
  <c r="S3" i="58"/>
  <c r="U11" i="56"/>
  <c r="W48" i="100" s="1"/>
  <c r="W45" i="100" s="1"/>
  <c r="W50" i="100" s="1"/>
  <c r="W52" i="100" s="1"/>
  <c r="U3" i="58"/>
  <c r="T6" i="107"/>
  <c r="R11" i="56"/>
  <c r="T48" i="100" s="1"/>
  <c r="T45" i="100" s="1"/>
  <c r="T50" i="100" s="1"/>
  <c r="T52" i="100" s="1"/>
  <c r="R3" i="58"/>
  <c r="Q6" i="107"/>
  <c r="X11" i="56"/>
  <c r="Z48" i="100" s="1"/>
  <c r="Z45" i="100" s="1"/>
  <c r="Z50" i="100" s="1"/>
  <c r="Z52" i="100" s="1"/>
  <c r="X3" i="58"/>
  <c r="W6" i="107"/>
  <c r="P11" i="56"/>
  <c r="R48" i="100" s="1"/>
  <c r="R45" i="100" s="1"/>
  <c r="R50" i="100" s="1"/>
  <c r="R52" i="100" s="1"/>
  <c r="O6" i="107"/>
  <c r="P3" i="58"/>
  <c r="O5" i="96"/>
  <c r="F18" i="94"/>
  <c r="H70" i="95"/>
  <c r="D18" i="94"/>
  <c r="D16" i="18"/>
  <c r="D8" i="17"/>
  <c r="D21" i="17" s="1"/>
  <c r="Y29" i="100"/>
  <c r="V17" i="50"/>
  <c r="D19" i="18"/>
  <c r="S17" i="50"/>
  <c r="V29" i="100"/>
  <c r="W29" i="100"/>
  <c r="T17" i="50"/>
  <c r="U29" i="100"/>
  <c r="R17" i="50"/>
  <c r="D13" i="108"/>
  <c r="D13" i="103"/>
  <c r="P17" i="50"/>
  <c r="S29" i="100"/>
  <c r="Z29" i="100"/>
  <c r="W17" i="50"/>
  <c r="R29" i="100"/>
  <c r="O17" i="50"/>
  <c r="T29" i="100"/>
  <c r="Q17" i="50"/>
  <c r="L20" i="93"/>
  <c r="L21" i="93"/>
  <c r="F11" i="101"/>
  <c r="U17" i="50"/>
  <c r="X29" i="100"/>
  <c r="L23" i="93" l="1"/>
  <c r="L24" i="93"/>
  <c r="U25" i="100"/>
  <c r="U30" i="100" s="1"/>
  <c r="Z25" i="100"/>
  <c r="Z30" i="100" s="1"/>
  <c r="V25" i="100"/>
  <c r="V30" i="100" s="1"/>
  <c r="T25" i="100"/>
  <c r="T30" i="100" s="1"/>
  <c r="X25" i="100"/>
  <c r="X30" i="100" s="1"/>
  <c r="R25" i="100"/>
  <c r="R30" i="100" s="1"/>
  <c r="W25" i="100"/>
  <c r="W30" i="100" s="1"/>
  <c r="Y25" i="100"/>
  <c r="Y30" i="100" s="1"/>
  <c r="Y6" i="6"/>
  <c r="Z51" i="100"/>
  <c r="S51" i="100"/>
  <c r="R6" i="6"/>
  <c r="S6" i="6"/>
  <c r="T51" i="100"/>
  <c r="T6" i="6"/>
  <c r="U51" i="100"/>
  <c r="X51" i="100"/>
  <c r="W6" i="6"/>
  <c r="R51" i="100"/>
  <c r="Q6" i="6"/>
  <c r="W51" i="100"/>
  <c r="V6" i="6"/>
  <c r="U6" i="6"/>
  <c r="V51" i="100"/>
  <c r="X6" i="6"/>
  <c r="Y51" i="100"/>
  <c r="O7" i="107"/>
  <c r="O8" i="107" s="1"/>
  <c r="P7" i="107"/>
  <c r="P8" i="107" s="1"/>
  <c r="T7" i="107"/>
  <c r="T8" i="107" s="1"/>
  <c r="R7" i="107"/>
  <c r="R8" i="107" s="1"/>
  <c r="S7" i="107"/>
  <c r="S8" i="107" s="1"/>
  <c r="U7" i="107"/>
  <c r="U8" i="107" s="1"/>
  <c r="W7" i="107"/>
  <c r="W8" i="107" s="1"/>
  <c r="V7" i="107"/>
  <c r="V8" i="107" s="1"/>
  <c r="Q7" i="107"/>
  <c r="Q8" i="107" s="1"/>
  <c r="E25" i="94"/>
  <c r="C25" i="94"/>
  <c r="F20" i="94"/>
  <c r="C26" i="94" s="1"/>
  <c r="F25" i="94"/>
  <c r="D14" i="18"/>
  <c r="D25" i="94"/>
  <c r="D20" i="94"/>
  <c r="U5" i="96"/>
  <c r="G30" i="96" s="1"/>
  <c r="R5" i="96"/>
  <c r="T5" i="96"/>
  <c r="F30" i="96" s="1"/>
  <c r="S5" i="96"/>
  <c r="E30" i="96" s="1"/>
  <c r="P5" i="96"/>
  <c r="P13" i="96"/>
  <c r="P18" i="96"/>
  <c r="P7" i="96"/>
  <c r="P6" i="96"/>
  <c r="P12" i="96"/>
  <c r="P14" i="96"/>
  <c r="X5" i="96"/>
  <c r="J30" i="96" s="1"/>
  <c r="P19" i="96"/>
  <c r="P22" i="96"/>
  <c r="W5" i="96"/>
  <c r="I30" i="96" s="1"/>
  <c r="P24" i="96"/>
  <c r="P16" i="96"/>
  <c r="P9" i="96"/>
  <c r="Z5" i="96"/>
  <c r="L30" i="96" s="1"/>
  <c r="Y5" i="96"/>
  <c r="K30" i="96" s="1"/>
  <c r="P21" i="96"/>
  <c r="P17" i="96"/>
  <c r="V5" i="96"/>
  <c r="H30" i="96" s="1"/>
  <c r="P25" i="96"/>
  <c r="P23" i="96"/>
  <c r="AA5" i="96"/>
  <c r="M30" i="96" s="1"/>
  <c r="P20" i="96"/>
  <c r="P11" i="96"/>
  <c r="P8" i="96"/>
  <c r="P10" i="96"/>
  <c r="D12" i="17"/>
  <c r="D25" i="17" s="1"/>
  <c r="I16" i="95"/>
  <c r="I38" i="95"/>
  <c r="I6" i="95"/>
  <c r="I15" i="95"/>
  <c r="I21" i="95"/>
  <c r="I9" i="95"/>
  <c r="I58" i="95"/>
  <c r="I4" i="95"/>
  <c r="I35" i="95"/>
  <c r="I32" i="95"/>
  <c r="I13" i="95"/>
  <c r="I8" i="95"/>
  <c r="I11" i="95"/>
  <c r="I24" i="95"/>
  <c r="I26" i="95"/>
  <c r="I34" i="95"/>
  <c r="I51" i="95"/>
  <c r="I20" i="95"/>
  <c r="I29" i="95"/>
  <c r="I53" i="95"/>
  <c r="I14" i="95"/>
  <c r="I63" i="95"/>
  <c r="I57" i="95"/>
  <c r="I66" i="95"/>
  <c r="I43" i="95"/>
  <c r="I60" i="95"/>
  <c r="I69" i="95"/>
  <c r="I65" i="95"/>
  <c r="I30" i="95"/>
  <c r="I18" i="95"/>
  <c r="I27" i="95"/>
  <c r="I36" i="95"/>
  <c r="I12" i="95"/>
  <c r="I31" i="95"/>
  <c r="I25" i="95"/>
  <c r="I62" i="95"/>
  <c r="I50" i="95"/>
  <c r="I61" i="95"/>
  <c r="I49" i="95"/>
  <c r="I64" i="95"/>
  <c r="I70" i="95"/>
  <c r="I52" i="95"/>
  <c r="I67" i="95"/>
  <c r="I28" i="95"/>
  <c r="I23" i="95"/>
  <c r="I56" i="95"/>
  <c r="I37" i="95"/>
  <c r="I55" i="95"/>
  <c r="I33" i="95"/>
  <c r="I7" i="95"/>
  <c r="I59" i="95"/>
  <c r="I68" i="95"/>
  <c r="I5" i="95"/>
  <c r="I19" i="95"/>
  <c r="I10" i="95"/>
  <c r="I22" i="95"/>
  <c r="I54" i="95"/>
  <c r="I17" i="95"/>
  <c r="V6" i="102"/>
  <c r="V14" i="102" s="1"/>
  <c r="S6" i="102"/>
  <c r="S14" i="102" s="1"/>
  <c r="K6" i="102"/>
  <c r="K14" i="102" s="1"/>
  <c r="W6" i="102"/>
  <c r="W14" i="102" s="1"/>
  <c r="Q6" i="102"/>
  <c r="Q14" i="102" s="1"/>
  <c r="T6" i="102"/>
  <c r="T14" i="102" s="1"/>
  <c r="M6" i="102"/>
  <c r="M14" i="102" s="1"/>
  <c r="O6" i="102"/>
  <c r="O14" i="102" s="1"/>
  <c r="D13" i="102"/>
  <c r="X6" i="102"/>
  <c r="X14" i="102" s="1"/>
  <c r="P6" i="102"/>
  <c r="P14" i="102" s="1"/>
  <c r="N6" i="102"/>
  <c r="N14" i="102" s="1"/>
  <c r="I6" i="102"/>
  <c r="I14" i="102" s="1"/>
  <c r="R6" i="102"/>
  <c r="R14" i="102" s="1"/>
  <c r="L6" i="102"/>
  <c r="L14" i="102" s="1"/>
  <c r="J6" i="102"/>
  <c r="J14" i="102" s="1"/>
  <c r="D5" i="102"/>
  <c r="U6" i="102"/>
  <c r="U14" i="102" s="1"/>
  <c r="V8" i="18"/>
  <c r="V11" i="38"/>
  <c r="V3" i="56"/>
  <c r="V13" i="39"/>
  <c r="U11" i="38"/>
  <c r="U3" i="56"/>
  <c r="U8" i="18"/>
  <c r="U13" i="39"/>
  <c r="W11" i="38"/>
  <c r="W8" i="18"/>
  <c r="W3" i="56"/>
  <c r="W13" i="39"/>
  <c r="R11" i="38"/>
  <c r="R8" i="18"/>
  <c r="R13" i="39"/>
  <c r="R3" i="56"/>
  <c r="X3" i="56"/>
  <c r="X13" i="39"/>
  <c r="X8" i="18"/>
  <c r="X11" i="38"/>
  <c r="S8" i="18"/>
  <c r="S13" i="39"/>
  <c r="S11" i="38"/>
  <c r="S3" i="56"/>
  <c r="T3" i="56"/>
  <c r="T13" i="39"/>
  <c r="T8" i="18"/>
  <c r="T11" i="38"/>
  <c r="Q3" i="101"/>
  <c r="P11" i="38"/>
  <c r="P3" i="56"/>
  <c r="P13" i="39"/>
  <c r="P8" i="18"/>
  <c r="Q3" i="56"/>
  <c r="Q11" i="38"/>
  <c r="Q8" i="18"/>
  <c r="Q13" i="39"/>
  <c r="S25" i="100" l="1"/>
  <c r="S30" i="100" s="1"/>
  <c r="R16" i="103"/>
  <c r="R12" i="103" s="1"/>
  <c r="Q16" i="103"/>
  <c r="Q12" i="103" s="1"/>
  <c r="E7" i="102"/>
  <c r="U7" i="102"/>
  <c r="U15" i="102" s="1"/>
  <c r="K7" i="102"/>
  <c r="K15" i="102" s="1"/>
  <c r="W7" i="102"/>
  <c r="W15" i="102" s="1"/>
  <c r="O7" i="102"/>
  <c r="O15" i="102" s="1"/>
  <c r="X7" i="102"/>
  <c r="X15" i="102" s="1"/>
  <c r="N7" i="102"/>
  <c r="N15" i="102" s="1"/>
  <c r="J7" i="102"/>
  <c r="J15" i="102" s="1"/>
  <c r="Q7" i="102"/>
  <c r="Q15" i="102" s="1"/>
  <c r="I7" i="102"/>
  <c r="I15" i="102" s="1"/>
  <c r="T7" i="102"/>
  <c r="T15" i="102" s="1"/>
  <c r="M7" i="102"/>
  <c r="M15" i="102" s="1"/>
  <c r="V7" i="102"/>
  <c r="V15" i="102" s="1"/>
  <c r="P7" i="102"/>
  <c r="P15" i="102" s="1"/>
  <c r="S7" i="102"/>
  <c r="S15" i="102" s="1"/>
  <c r="L7" i="102"/>
  <c r="L15" i="102" s="1"/>
  <c r="R7" i="102"/>
  <c r="R15" i="102" s="1"/>
  <c r="O11" i="56"/>
  <c r="Q48" i="100" s="1"/>
  <c r="F48" i="100" s="1"/>
  <c r="O3" i="58"/>
  <c r="N6" i="107"/>
  <c r="D26" i="94"/>
  <c r="C18" i="50"/>
  <c r="F26" i="94"/>
  <c r="E26" i="94"/>
  <c r="L4" i="93"/>
  <c r="L5" i="93"/>
  <c r="F7" i="102"/>
  <c r="H7" i="102"/>
  <c r="H15" i="102" s="1"/>
  <c r="G7" i="102"/>
  <c r="D10" i="17"/>
  <c r="D23" i="17" s="1"/>
  <c r="D30" i="96"/>
  <c r="O30" i="96" s="1"/>
  <c r="AC5" i="96"/>
  <c r="F3" i="101"/>
  <c r="R33" i="93"/>
  <c r="R34" i="93" s="1"/>
  <c r="R32" i="93" s="1"/>
  <c r="R35" i="93" s="1"/>
  <c r="Q29" i="100"/>
  <c r="N17" i="50"/>
  <c r="C17" i="50" s="1"/>
  <c r="F27" i="100" l="1"/>
  <c r="Q25" i="100"/>
  <c r="Q30" i="100" s="1"/>
  <c r="E48" i="100"/>
  <c r="Q45" i="100"/>
  <c r="F45" i="100" s="1"/>
  <c r="F29" i="100"/>
  <c r="H12" i="56"/>
  <c r="H15" i="56" s="1"/>
  <c r="H4" i="56"/>
  <c r="H7" i="56" s="1"/>
  <c r="R8" i="102"/>
  <c r="R16" i="102" s="1"/>
  <c r="W8" i="102"/>
  <c r="W16" i="102" s="1"/>
  <c r="M8" i="102"/>
  <c r="M16" i="102" s="1"/>
  <c r="X8" i="102"/>
  <c r="X16" i="102" s="1"/>
  <c r="N8" i="102"/>
  <c r="N16" i="102" s="1"/>
  <c r="S8" i="102"/>
  <c r="S16" i="102" s="1"/>
  <c r="I8" i="102"/>
  <c r="I16" i="102" s="1"/>
  <c r="P8" i="102"/>
  <c r="P16" i="102" s="1"/>
  <c r="O8" i="102"/>
  <c r="O16" i="102" s="1"/>
  <c r="T8" i="102"/>
  <c r="T16" i="102" s="1"/>
  <c r="J8" i="102"/>
  <c r="J16" i="102" s="1"/>
  <c r="V8" i="102"/>
  <c r="V16" i="102" s="1"/>
  <c r="L8" i="102"/>
  <c r="L16" i="102" s="1"/>
  <c r="U8" i="102"/>
  <c r="U16" i="102" s="1"/>
  <c r="K8" i="102"/>
  <c r="K16" i="102" s="1"/>
  <c r="H8" i="102"/>
  <c r="H16" i="102" s="1"/>
  <c r="Q8" i="102"/>
  <c r="Q16" i="102" s="1"/>
  <c r="N7" i="107"/>
  <c r="N8" i="107" s="1"/>
  <c r="M12" i="56"/>
  <c r="M15" i="56" s="1"/>
  <c r="M4" i="56"/>
  <c r="M7" i="56" s="1"/>
  <c r="R4" i="56"/>
  <c r="R7" i="56" s="1"/>
  <c r="R12" i="56"/>
  <c r="R15" i="56" s="1"/>
  <c r="T12" i="56"/>
  <c r="T15" i="56" s="1"/>
  <c r="T4" i="56"/>
  <c r="T7" i="56" s="1"/>
  <c r="X12" i="56"/>
  <c r="X15" i="56" s="1"/>
  <c r="X4" i="56"/>
  <c r="X7" i="56" s="1"/>
  <c r="D7" i="102"/>
  <c r="U12" i="56"/>
  <c r="U15" i="56" s="1"/>
  <c r="U4" i="56"/>
  <c r="U7" i="56" s="1"/>
  <c r="L11" i="93"/>
  <c r="L26" i="93"/>
  <c r="N7" i="93"/>
  <c r="L25" i="93"/>
  <c r="N25" i="93" s="1"/>
  <c r="N4" i="56"/>
  <c r="N7" i="56" s="1"/>
  <c r="N12" i="56"/>
  <c r="N15" i="56" s="1"/>
  <c r="W12" i="56"/>
  <c r="W15" i="56" s="1"/>
  <c r="W4" i="56"/>
  <c r="W7" i="56" s="1"/>
  <c r="L12" i="56"/>
  <c r="L15" i="56" s="1"/>
  <c r="L4" i="56"/>
  <c r="L7" i="56" s="1"/>
  <c r="K12" i="56"/>
  <c r="K15" i="56" s="1"/>
  <c r="K4" i="56"/>
  <c r="K7" i="56" s="1"/>
  <c r="D15" i="102"/>
  <c r="O12" i="56"/>
  <c r="O15" i="56" s="1"/>
  <c r="O4" i="56"/>
  <c r="Q12" i="56"/>
  <c r="Q15" i="56" s="1"/>
  <c r="Q4" i="56"/>
  <c r="Q7" i="56" s="1"/>
  <c r="S4" i="56"/>
  <c r="S7" i="56" s="1"/>
  <c r="S12" i="56"/>
  <c r="S15" i="56" s="1"/>
  <c r="P4" i="56"/>
  <c r="P7" i="56" s="1"/>
  <c r="P12" i="56"/>
  <c r="P15" i="56" s="1"/>
  <c r="V12" i="56"/>
  <c r="V15" i="56" s="1"/>
  <c r="V4" i="56"/>
  <c r="V7" i="56" s="1"/>
  <c r="J4" i="56"/>
  <c r="J7" i="56" s="1"/>
  <c r="J12" i="56"/>
  <c r="J15" i="56" s="1"/>
  <c r="I4" i="56"/>
  <c r="I7" i="56" s="1"/>
  <c r="I12" i="56"/>
  <c r="I15" i="56" s="1"/>
  <c r="D11" i="56"/>
  <c r="E29" i="100"/>
  <c r="D3" i="58"/>
  <c r="O13" i="39"/>
  <c r="D13" i="39" s="1"/>
  <c r="O3" i="56"/>
  <c r="O8" i="18"/>
  <c r="D8" i="18" s="1"/>
  <c r="O11" i="38"/>
  <c r="D11" i="38" s="1"/>
  <c r="C6" i="107"/>
  <c r="F25" i="100" l="1"/>
  <c r="Q50" i="100"/>
  <c r="E45" i="100"/>
  <c r="G6" i="16"/>
  <c r="G35" i="16"/>
  <c r="H6" i="16"/>
  <c r="H35" i="16"/>
  <c r="R6" i="16"/>
  <c r="R35" i="16"/>
  <c r="K6" i="16"/>
  <c r="K35" i="16"/>
  <c r="S6" i="16"/>
  <c r="S35" i="16"/>
  <c r="L6" i="16"/>
  <c r="L35" i="16"/>
  <c r="U6" i="16"/>
  <c r="U35" i="16"/>
  <c r="P35" i="16"/>
  <c r="P6" i="16"/>
  <c r="D4" i="56"/>
  <c r="M6" i="16"/>
  <c r="M35" i="16"/>
  <c r="T6" i="16"/>
  <c r="T35" i="16"/>
  <c r="W11" i="50"/>
  <c r="X6" i="38"/>
  <c r="I6" i="16"/>
  <c r="I35" i="16"/>
  <c r="O35" i="16"/>
  <c r="O6" i="16"/>
  <c r="D15" i="56"/>
  <c r="D12" i="56"/>
  <c r="J6" i="16"/>
  <c r="J35" i="16"/>
  <c r="V35" i="16"/>
  <c r="V6" i="16"/>
  <c r="W6" i="16"/>
  <c r="W35" i="16"/>
  <c r="Q6" i="16"/>
  <c r="Q35" i="16"/>
  <c r="C8" i="107"/>
  <c r="C7" i="107"/>
  <c r="D3" i="56"/>
  <c r="O7" i="56"/>
  <c r="E25" i="100"/>
  <c r="F50" i="100" l="1"/>
  <c r="Q52" i="100"/>
  <c r="Q51" i="100"/>
  <c r="E50" i="100"/>
  <c r="X13" i="18"/>
  <c r="W3" i="50"/>
  <c r="C11" i="50"/>
  <c r="X6" i="39"/>
  <c r="D6" i="38"/>
  <c r="X3" i="38"/>
  <c r="N6" i="16"/>
  <c r="N35" i="16"/>
  <c r="D7" i="56"/>
  <c r="E52" i="100" l="1"/>
  <c r="F52" i="100"/>
  <c r="P6" i="6"/>
  <c r="C35" i="16"/>
  <c r="C6" i="16"/>
  <c r="X12" i="18"/>
  <c r="D12" i="18" s="1"/>
  <c r="D13" i="18"/>
  <c r="X3" i="39"/>
  <c r="D6" i="39"/>
  <c r="E6" i="6" l="1"/>
  <c r="D12" i="103" l="1"/>
  <c r="D7" i="108" l="1"/>
  <c r="F3" i="57"/>
  <c r="G3" i="57"/>
  <c r="G36" i="16" l="1"/>
  <c r="G5" i="50"/>
  <c r="G3" i="50" s="1"/>
  <c r="F36" i="16"/>
  <c r="C6" i="57"/>
  <c r="G7" i="16"/>
  <c r="F5" i="50"/>
  <c r="F7" i="16"/>
  <c r="C3" i="57"/>
  <c r="G6" i="18"/>
  <c r="G4" i="39"/>
  <c r="G4" i="38"/>
  <c r="H4" i="39"/>
  <c r="H3" i="39" s="1"/>
  <c r="H4" i="38"/>
  <c r="H3" i="38" s="1"/>
  <c r="H6" i="18"/>
  <c r="H5" i="18" s="1"/>
  <c r="C36" i="16" l="1"/>
  <c r="C7" i="16"/>
  <c r="J20" i="100"/>
  <c r="J30" i="100" s="1"/>
  <c r="J15" i="100"/>
  <c r="F3" i="50"/>
  <c r="C3" i="50" s="1"/>
  <c r="C5" i="50"/>
  <c r="I15" i="100"/>
  <c r="F19" i="100"/>
  <c r="E19" i="100"/>
  <c r="G3" i="38"/>
  <c r="D3" i="38" s="1"/>
  <c r="D4" i="38"/>
  <c r="G3" i="39"/>
  <c r="D3" i="39" s="1"/>
  <c r="D4" i="39"/>
  <c r="G5" i="18"/>
  <c r="D5" i="18" s="1"/>
  <c r="D6" i="18"/>
  <c r="F15" i="100" l="1"/>
  <c r="E15" i="100"/>
  <c r="F24" i="100"/>
  <c r="I20" i="100"/>
  <c r="E24" i="100"/>
  <c r="E20" i="100" l="1"/>
  <c r="F20" i="100"/>
  <c r="I30" i="100"/>
  <c r="I32" i="100" l="1"/>
  <c r="I33" i="100"/>
  <c r="E30" i="100"/>
  <c r="F30" i="100"/>
  <c r="I36" i="100" l="1"/>
  <c r="I35" i="100"/>
  <c r="J31" i="100"/>
  <c r="J33" i="100" s="1"/>
  <c r="J32" i="100" l="1"/>
  <c r="J35" i="100"/>
  <c r="J36" i="100"/>
  <c r="K31" i="100" l="1"/>
  <c r="K32" i="100" s="1"/>
  <c r="L31" i="100" s="1"/>
  <c r="L32" i="100" s="1"/>
  <c r="K33" i="100" l="1"/>
  <c r="K36" i="100" s="1"/>
  <c r="M31" i="100"/>
  <c r="M32" i="100" s="1"/>
  <c r="L33" i="100"/>
  <c r="K35" i="100" l="1"/>
  <c r="L35" i="100"/>
  <c r="L36" i="100"/>
  <c r="N31" i="100" l="1"/>
  <c r="M33" i="100"/>
  <c r="M35" i="100" s="1"/>
  <c r="M36" i="100" l="1"/>
  <c r="N33" i="100"/>
  <c r="N36" i="100" s="1"/>
  <c r="N32" i="100"/>
  <c r="O31" i="100" s="1"/>
  <c r="N35" i="100" l="1"/>
  <c r="O32" i="100"/>
  <c r="P31" i="100" s="1"/>
  <c r="P33" i="100" s="1"/>
  <c r="O33" i="100"/>
  <c r="P32" i="100" l="1"/>
  <c r="O36" i="100"/>
  <c r="P35" i="100"/>
  <c r="O35" i="100"/>
  <c r="P36" i="100"/>
  <c r="Q31" i="100" l="1"/>
  <c r="Q33" i="100" s="1"/>
  <c r="Q32" i="100" l="1"/>
  <c r="Q36" i="100"/>
  <c r="Q35" i="100"/>
  <c r="R31" i="100" l="1"/>
  <c r="R32" i="100" l="1"/>
  <c r="S31" i="100" s="1"/>
  <c r="S33" i="100" s="1"/>
  <c r="S35" i="100" s="1"/>
  <c r="R33" i="100"/>
  <c r="R36" i="100" l="1"/>
  <c r="R35" i="100"/>
  <c r="S32" i="100"/>
  <c r="S36" i="100"/>
  <c r="T31" i="100" l="1"/>
  <c r="T33" i="100" s="1"/>
  <c r="T35" i="100" l="1"/>
  <c r="T36" i="100"/>
  <c r="T32" i="100"/>
  <c r="U31" i="100" l="1"/>
  <c r="U32" i="100" s="1"/>
  <c r="U33" i="100" l="1"/>
  <c r="U36" i="100" s="1"/>
  <c r="V31" i="100"/>
  <c r="V32" i="100" s="1"/>
  <c r="I34" i="100"/>
  <c r="I4" i="100" s="1"/>
  <c r="G12" i="38" s="1"/>
  <c r="G8" i="38" s="1"/>
  <c r="G13" i="38" s="1"/>
  <c r="J34" i="100"/>
  <c r="J4" i="100" s="1"/>
  <c r="G5" i="16" s="1"/>
  <c r="G8" i="16" s="1"/>
  <c r="K34" i="100"/>
  <c r="L34" i="100"/>
  <c r="M34" i="100"/>
  <c r="N34" i="100"/>
  <c r="O34" i="100"/>
  <c r="P34" i="100"/>
  <c r="Q34" i="100"/>
  <c r="R34" i="100"/>
  <c r="S34" i="100"/>
  <c r="T34" i="100"/>
  <c r="U35" i="100" l="1"/>
  <c r="U34" i="100" s="1"/>
  <c r="H5" i="6"/>
  <c r="V33" i="100"/>
  <c r="M4" i="100"/>
  <c r="J5" i="16" s="1"/>
  <c r="L5" i="6"/>
  <c r="S4" i="100"/>
  <c r="P4" i="107" s="1"/>
  <c r="R5" i="6"/>
  <c r="O4" i="100"/>
  <c r="O5" i="100" s="1"/>
  <c r="L5" i="107" s="1"/>
  <c r="N5" i="6"/>
  <c r="K4" i="100"/>
  <c r="H4" i="107" s="1"/>
  <c r="J5" i="6"/>
  <c r="R4" i="100"/>
  <c r="R5" i="100" s="1"/>
  <c r="O5" i="107" s="1"/>
  <c r="Q5" i="6"/>
  <c r="N4" i="100"/>
  <c r="N5" i="100" s="1"/>
  <c r="K5" i="107" s="1"/>
  <c r="M5" i="6"/>
  <c r="Q4" i="100"/>
  <c r="N5" i="16" s="1"/>
  <c r="N8" i="16" s="1"/>
  <c r="P5" i="6"/>
  <c r="I5" i="6"/>
  <c r="T4" i="100"/>
  <c r="R12" i="38" s="1"/>
  <c r="R8" i="38" s="1"/>
  <c r="R13" i="38" s="1"/>
  <c r="S5" i="6"/>
  <c r="P4" i="100"/>
  <c r="M5" i="16" s="1"/>
  <c r="O5" i="6"/>
  <c r="L4" i="100"/>
  <c r="I4" i="107" s="1"/>
  <c r="K5" i="6"/>
  <c r="H14" i="39"/>
  <c r="G14" i="39"/>
  <c r="F5" i="16"/>
  <c r="F34" i="16" s="1"/>
  <c r="F37" i="16" s="1"/>
  <c r="H12" i="38"/>
  <c r="H8" i="38" s="1"/>
  <c r="H13" i="38" s="1"/>
  <c r="G34" i="16"/>
  <c r="G37" i="16" s="1"/>
  <c r="G19" i="16"/>
  <c r="H10" i="18"/>
  <c r="G15" i="50"/>
  <c r="I5" i="100"/>
  <c r="F5" i="107" s="1"/>
  <c r="F4" i="107"/>
  <c r="J5" i="100"/>
  <c r="G5" i="107" s="1"/>
  <c r="G4" i="107"/>
  <c r="T5" i="6" l="1"/>
  <c r="U4" i="100"/>
  <c r="R5" i="16" s="1"/>
  <c r="R8" i="16" s="1"/>
  <c r="K12" i="38"/>
  <c r="K8" i="38" s="1"/>
  <c r="K13" i="38" s="1"/>
  <c r="L5" i="100"/>
  <c r="I5" i="107" s="1"/>
  <c r="I14" i="39"/>
  <c r="L14" i="39"/>
  <c r="M12" i="38"/>
  <c r="M8" i="38" s="1"/>
  <c r="M13" i="38" s="1"/>
  <c r="V36" i="100"/>
  <c r="V35" i="100"/>
  <c r="J4" i="107"/>
  <c r="K4" i="107"/>
  <c r="L4" i="107"/>
  <c r="M5" i="100"/>
  <c r="J5" i="107" s="1"/>
  <c r="K14" i="39"/>
  <c r="W31" i="100"/>
  <c r="W32" i="100" s="1"/>
  <c r="T5" i="100"/>
  <c r="Q5" i="107" s="1"/>
  <c r="Q5" i="100"/>
  <c r="N5" i="107" s="1"/>
  <c r="P14" i="39"/>
  <c r="O4" i="107"/>
  <c r="N15" i="50"/>
  <c r="Q4" i="107"/>
  <c r="J12" i="38"/>
  <c r="J8" i="38" s="1"/>
  <c r="J13" i="38" s="1"/>
  <c r="P5" i="100"/>
  <c r="M5" i="107" s="1"/>
  <c r="M15" i="50"/>
  <c r="M8" i="16"/>
  <c r="M34" i="16"/>
  <c r="M37" i="16" s="1"/>
  <c r="Q12" i="38"/>
  <c r="Q8" i="38" s="1"/>
  <c r="Q13" i="38" s="1"/>
  <c r="P5" i="16"/>
  <c r="P8" i="16" s="1"/>
  <c r="N4" i="107"/>
  <c r="S5" i="100"/>
  <c r="P5" i="107" s="1"/>
  <c r="O14" i="39"/>
  <c r="N14" i="39"/>
  <c r="J14" i="39"/>
  <c r="I5" i="16"/>
  <c r="R14" i="39"/>
  <c r="Q5" i="16"/>
  <c r="Q8" i="16" s="1"/>
  <c r="N10" i="18"/>
  <c r="N19" i="16"/>
  <c r="N20" i="16" s="1"/>
  <c r="P12" i="38"/>
  <c r="P8" i="38" s="1"/>
  <c r="P13" i="38" s="1"/>
  <c r="O5" i="16"/>
  <c r="O8" i="16" s="1"/>
  <c r="I12" i="38"/>
  <c r="I8" i="38" s="1"/>
  <c r="I13" i="38" s="1"/>
  <c r="H5" i="16"/>
  <c r="I10" i="18" s="1"/>
  <c r="K5" i="100"/>
  <c r="H5" i="107" s="1"/>
  <c r="M4" i="107"/>
  <c r="O12" i="38"/>
  <c r="O8" i="38" s="1"/>
  <c r="O13" i="38" s="1"/>
  <c r="N12" i="38"/>
  <c r="N8" i="38" s="1"/>
  <c r="N13" i="38" s="1"/>
  <c r="Q14" i="39"/>
  <c r="L12" i="38"/>
  <c r="L8" i="38" s="1"/>
  <c r="L13" i="38" s="1"/>
  <c r="K5" i="16"/>
  <c r="L10" i="18" s="1"/>
  <c r="M14" i="39"/>
  <c r="L5" i="16"/>
  <c r="M10" i="18" s="1"/>
  <c r="J15" i="50"/>
  <c r="J8" i="16"/>
  <c r="O10" i="18"/>
  <c r="G10" i="18"/>
  <c r="F15" i="50"/>
  <c r="F8" i="16"/>
  <c r="J34" i="16"/>
  <c r="J37" i="16" s="1"/>
  <c r="N34" i="16"/>
  <c r="N37" i="16" s="1"/>
  <c r="K10" i="18"/>
  <c r="H32" i="17"/>
  <c r="G20" i="16"/>
  <c r="F9" i="16" l="1"/>
  <c r="F10" i="16" s="1"/>
  <c r="F11" i="16" s="1"/>
  <c r="R4" i="107"/>
  <c r="S12" i="38"/>
  <c r="S8" i="38" s="1"/>
  <c r="S13" i="38" s="1"/>
  <c r="S14" i="39"/>
  <c r="U5" i="100"/>
  <c r="R5" i="107" s="1"/>
  <c r="R19" i="16"/>
  <c r="R20" i="16" s="1"/>
  <c r="R34" i="16"/>
  <c r="R37" i="16" s="1"/>
  <c r="V34" i="100"/>
  <c r="U5" i="6" s="1"/>
  <c r="O19" i="16"/>
  <c r="O20" i="16" s="1"/>
  <c r="Q22" i="16"/>
  <c r="Q24" i="16" s="1"/>
  <c r="Q26" i="16" s="1"/>
  <c r="Q27" i="16" s="1"/>
  <c r="W33" i="100"/>
  <c r="Q34" i="16"/>
  <c r="Q37" i="16" s="1"/>
  <c r="P15" i="50"/>
  <c r="R10" i="18"/>
  <c r="Q15" i="50"/>
  <c r="Q10" i="18"/>
  <c r="P34" i="16"/>
  <c r="P37" i="16" s="1"/>
  <c r="O15" i="50"/>
  <c r="S10" i="18"/>
  <c r="J19" i="16"/>
  <c r="J20" i="16" s="1"/>
  <c r="L15" i="50"/>
  <c r="L8" i="16"/>
  <c r="I15" i="50"/>
  <c r="I8" i="16"/>
  <c r="J10" i="18"/>
  <c r="O22" i="16"/>
  <c r="O24" i="16" s="1"/>
  <c r="O26" i="16" s="1"/>
  <c r="O27" i="16" s="1"/>
  <c r="P10" i="18"/>
  <c r="L34" i="16"/>
  <c r="L37" i="16" s="1"/>
  <c r="R15" i="50"/>
  <c r="O34" i="16"/>
  <c r="O37" i="16" s="1"/>
  <c r="K15" i="50"/>
  <c r="K8" i="16"/>
  <c r="K34" i="16"/>
  <c r="K37" i="16" s="1"/>
  <c r="Q19" i="16"/>
  <c r="M19" i="16"/>
  <c r="I34" i="16"/>
  <c r="I37" i="16" s="1"/>
  <c r="H15" i="50"/>
  <c r="H8" i="16"/>
  <c r="H34" i="16"/>
  <c r="H37" i="16" s="1"/>
  <c r="P19" i="16"/>
  <c r="P20" i="16" s="1"/>
  <c r="F19" i="16"/>
  <c r="G32" i="17" s="1"/>
  <c r="P22" i="16"/>
  <c r="P24" i="16" s="1"/>
  <c r="P26" i="16" s="1"/>
  <c r="P27" i="16" s="1"/>
  <c r="N22" i="16"/>
  <c r="G15" i="39" l="1"/>
  <c r="G8" i="39" s="1"/>
  <c r="G17" i="39" s="1"/>
  <c r="F12" i="16"/>
  <c r="G11" i="18"/>
  <c r="G7" i="18" s="1"/>
  <c r="G4" i="18" s="1"/>
  <c r="F20" i="50"/>
  <c r="V4" i="100"/>
  <c r="S5" i="16" s="1"/>
  <c r="S8" i="16" s="1"/>
  <c r="Q32" i="17"/>
  <c r="P32" i="17"/>
  <c r="W36" i="100"/>
  <c r="W35" i="100"/>
  <c r="X31" i="100"/>
  <c r="X32" i="100" s="1"/>
  <c r="K32" i="17"/>
  <c r="M20" i="16"/>
  <c r="N32" i="17"/>
  <c r="L19" i="16"/>
  <c r="Q20" i="16"/>
  <c r="R32" i="17"/>
  <c r="I19" i="16"/>
  <c r="H19" i="16"/>
  <c r="K19" i="16"/>
  <c r="S32" i="17"/>
  <c r="F20" i="16"/>
  <c r="O32" i="17"/>
  <c r="N24" i="16"/>
  <c r="N26" i="16" s="1"/>
  <c r="N27" i="16" s="1"/>
  <c r="G18" i="39" l="1"/>
  <c r="G27" i="39"/>
  <c r="S19" i="16"/>
  <c r="S20" i="16" s="1"/>
  <c r="V5" i="100"/>
  <c r="S5" i="107" s="1"/>
  <c r="S34" i="16"/>
  <c r="S37" i="16" s="1"/>
  <c r="T12" i="38"/>
  <c r="T8" i="38" s="1"/>
  <c r="T13" i="38" s="1"/>
  <c r="S4" i="107"/>
  <c r="T14" i="39"/>
  <c r="W34" i="100"/>
  <c r="V5" i="6" s="1"/>
  <c r="Y31" i="100"/>
  <c r="Y32" i="100" s="1"/>
  <c r="T10" i="18"/>
  <c r="S15" i="50"/>
  <c r="K20" i="16"/>
  <c r="L32" i="17"/>
  <c r="I20" i="16"/>
  <c r="J32" i="17"/>
  <c r="L20" i="16"/>
  <c r="M32" i="17"/>
  <c r="H20" i="16"/>
  <c r="I32" i="17"/>
  <c r="H34" i="100"/>
  <c r="H4" i="100" s="1"/>
  <c r="F14" i="39" s="1"/>
  <c r="W4" i="100" l="1"/>
  <c r="T5" i="16" s="1"/>
  <c r="T8" i="16" s="1"/>
  <c r="Y33" i="100"/>
  <c r="X33" i="100"/>
  <c r="F12" i="38"/>
  <c r="F8" i="38" s="1"/>
  <c r="F13" i="38" s="1"/>
  <c r="E5" i="16"/>
  <c r="E34" i="16" s="1"/>
  <c r="E37" i="16" s="1"/>
  <c r="G5" i="6"/>
  <c r="H5" i="100"/>
  <c r="E5" i="107" s="1"/>
  <c r="E4" i="107"/>
  <c r="T19" i="16" l="1"/>
  <c r="T20" i="16" s="1"/>
  <c r="Z31" i="100"/>
  <c r="Z32" i="100" s="1"/>
  <c r="T34" i="16"/>
  <c r="U12" i="38"/>
  <c r="U8" i="38" s="1"/>
  <c r="U13" i="38" s="1"/>
  <c r="W5" i="100"/>
  <c r="T5" i="107" s="1"/>
  <c r="T4" i="107"/>
  <c r="U14" i="39"/>
  <c r="T32" i="17"/>
  <c r="X36" i="100"/>
  <c r="X35" i="100"/>
  <c r="Y36" i="100"/>
  <c r="Y35" i="100"/>
  <c r="F10" i="18"/>
  <c r="E8" i="16"/>
  <c r="E15" i="50"/>
  <c r="X34" i="100" l="1"/>
  <c r="W5" i="6" s="1"/>
  <c r="Y34" i="100"/>
  <c r="X5" i="6" s="1"/>
  <c r="U10" i="18"/>
  <c r="T15" i="50"/>
  <c r="T37" i="16"/>
  <c r="Z33" i="100"/>
  <c r="F31" i="100"/>
  <c r="E31" i="100"/>
  <c r="E32" i="100"/>
  <c r="E10" i="16"/>
  <c r="E11" i="16" s="1"/>
  <c r="F15" i="39" s="1"/>
  <c r="F8" i="39" s="1"/>
  <c r="F17" i="39" s="1"/>
  <c r="E19" i="16"/>
  <c r="F32" i="17" s="1"/>
  <c r="X4" i="100" l="1"/>
  <c r="U4" i="107" s="1"/>
  <c r="F11" i="18"/>
  <c r="F7" i="18" s="1"/>
  <c r="F4" i="18" s="1"/>
  <c r="E20" i="50"/>
  <c r="E12" i="16"/>
  <c r="Y4" i="100"/>
  <c r="V5" i="16" s="1"/>
  <c r="V8" i="16" s="1"/>
  <c r="Z36" i="100"/>
  <c r="Z35" i="100"/>
  <c r="E33" i="100"/>
  <c r="F33" i="100"/>
  <c r="E20" i="16"/>
  <c r="F18" i="39"/>
  <c r="F27" i="39"/>
  <c r="V12" i="38" l="1"/>
  <c r="V8" i="38" s="1"/>
  <c r="V13" i="38" s="1"/>
  <c r="U5" i="16"/>
  <c r="U15" i="50" s="1"/>
  <c r="X5" i="100"/>
  <c r="U5" i="107" s="1"/>
  <c r="V14" i="39"/>
  <c r="V19" i="16"/>
  <c r="V20" i="16" s="1"/>
  <c r="Z34" i="100"/>
  <c r="Y5" i="6" s="1"/>
  <c r="W14" i="39"/>
  <c r="W12" i="38"/>
  <c r="W8" i="38" s="1"/>
  <c r="W13" i="38" s="1"/>
  <c r="V4" i="107"/>
  <c r="V34" i="16"/>
  <c r="Y5" i="100"/>
  <c r="V5" i="107" s="1"/>
  <c r="U32" i="17"/>
  <c r="F36" i="100"/>
  <c r="E36" i="100"/>
  <c r="U8" i="16" l="1"/>
  <c r="Z4" i="100"/>
  <c r="W5" i="16" s="1"/>
  <c r="W8" i="16" s="1"/>
  <c r="V10" i="18"/>
  <c r="U34" i="16"/>
  <c r="U37" i="16" s="1"/>
  <c r="U19" i="16"/>
  <c r="U20" i="16" s="1"/>
  <c r="W10" i="18"/>
  <c r="V37" i="16"/>
  <c r="V15" i="50"/>
  <c r="W4" i="107" l="1"/>
  <c r="X14" i="39"/>
  <c r="W19" i="16"/>
  <c r="W20" i="16" s="1"/>
  <c r="Z5" i="100"/>
  <c r="W5" i="107" s="1"/>
  <c r="X12" i="38"/>
  <c r="X8" i="38" s="1"/>
  <c r="X13" i="38" s="1"/>
  <c r="W34" i="16"/>
  <c r="W37" i="16" s="1"/>
  <c r="V32" i="17"/>
  <c r="W15" i="50"/>
  <c r="X10" i="18"/>
  <c r="W32" i="17" l="1"/>
  <c r="X32" i="17" l="1"/>
  <c r="D6" i="108" l="1"/>
  <c r="S30" i="50" l="1"/>
  <c r="T29" i="18"/>
  <c r="T6" i="103" l="1"/>
  <c r="T30" i="50"/>
  <c r="U30" i="50"/>
  <c r="V30" i="50"/>
  <c r="U29" i="18"/>
  <c r="V29" i="18"/>
  <c r="W29" i="18"/>
  <c r="U6" i="103"/>
  <c r="V6" i="103"/>
  <c r="W6" i="103"/>
  <c r="P30" i="50"/>
  <c r="Q30" i="50"/>
  <c r="R30" i="50"/>
  <c r="Q29" i="18"/>
  <c r="R29" i="18"/>
  <c r="S29" i="18"/>
  <c r="Q6" i="103"/>
  <c r="R6" i="103"/>
  <c r="S6" i="103"/>
  <c r="O30" i="50"/>
  <c r="P29" i="18"/>
  <c r="P6" i="103"/>
  <c r="N30" i="50" l="1"/>
  <c r="O29" i="18"/>
  <c r="O6" i="103"/>
  <c r="E30" i="50" l="1"/>
  <c r="F29" i="18"/>
  <c r="F6" i="110" s="1"/>
  <c r="F6" i="103" l="1"/>
  <c r="M30" i="50" l="1"/>
  <c r="N29" i="18"/>
  <c r="N6" i="103"/>
  <c r="E12" i="108" l="1"/>
  <c r="F12" i="108"/>
  <c r="G12" i="108"/>
  <c r="H12" i="108"/>
  <c r="I12" i="108"/>
  <c r="J12" i="108"/>
  <c r="K12" i="108"/>
  <c r="L12" i="108"/>
  <c r="M12" i="108"/>
  <c r="N12" i="108"/>
  <c r="O12" i="108"/>
  <c r="P12" i="108"/>
  <c r="Q12" i="108"/>
  <c r="R12" i="108"/>
  <c r="S12" i="108"/>
  <c r="T12" i="108"/>
  <c r="U12" i="108"/>
  <c r="V12" i="108"/>
  <c r="W12" i="108"/>
  <c r="X12" i="108"/>
  <c r="D16" i="108"/>
  <c r="D12" i="108" l="1"/>
  <c r="E4" i="108"/>
  <c r="F4" i="108"/>
  <c r="F20" i="108" s="1"/>
  <c r="G4" i="108"/>
  <c r="G20" i="108" s="1"/>
  <c r="H4" i="108"/>
  <c r="I4" i="108"/>
  <c r="I20" i="108" s="1"/>
  <c r="J4" i="108"/>
  <c r="J20" i="108" s="1"/>
  <c r="K4" i="108"/>
  <c r="K20" i="108" s="1"/>
  <c r="L4" i="108"/>
  <c r="L20" i="108" s="1"/>
  <c r="M4" i="108"/>
  <c r="M20" i="108" s="1"/>
  <c r="N4" i="108"/>
  <c r="N20" i="108" s="1"/>
  <c r="O4" i="108"/>
  <c r="O20" i="108" s="1"/>
  <c r="P4" i="108"/>
  <c r="Q4" i="108"/>
  <c r="Q20" i="108" s="1"/>
  <c r="R4" i="108"/>
  <c r="R20" i="108" s="1"/>
  <c r="S4" i="108"/>
  <c r="S20" i="108" s="1"/>
  <c r="T4" i="108"/>
  <c r="T20" i="108" s="1"/>
  <c r="U4" i="108"/>
  <c r="U20" i="108" s="1"/>
  <c r="V4" i="108"/>
  <c r="V20" i="108" s="1"/>
  <c r="W4" i="108"/>
  <c r="W20" i="108" s="1"/>
  <c r="X4" i="108"/>
  <c r="X20" i="108" s="1"/>
  <c r="D5" i="108"/>
  <c r="H20" i="108"/>
  <c r="P20" i="108"/>
  <c r="D4" i="108" l="1"/>
  <c r="E20" i="108"/>
  <c r="D20" i="108" l="1"/>
  <c r="D27" i="108" s="1"/>
  <c r="D26" i="108"/>
  <c r="E26" i="108" s="1"/>
  <c r="E21" i="108"/>
  <c r="D24" i="108"/>
  <c r="E24" i="108" l="1"/>
  <c r="F21" i="108"/>
  <c r="G21" i="108" s="1"/>
  <c r="H21" i="108" s="1"/>
  <c r="I21" i="108" s="1"/>
  <c r="J21" i="108" s="1"/>
  <c r="K21" i="108" s="1"/>
  <c r="L21" i="108" s="1"/>
  <c r="M21" i="108" s="1"/>
  <c r="N21" i="108" s="1"/>
  <c r="O21" i="108" s="1"/>
  <c r="P21" i="108" s="1"/>
  <c r="Q21" i="108" s="1"/>
  <c r="R21" i="108" s="1"/>
  <c r="S21" i="108" s="1"/>
  <c r="T21" i="108" s="1"/>
  <c r="U21" i="108" s="1"/>
  <c r="V21" i="108" s="1"/>
  <c r="W21" i="108" s="1"/>
  <c r="X21" i="108" s="1"/>
  <c r="E38" i="16"/>
  <c r="E39" i="16" s="1"/>
  <c r="E40" i="16" s="1"/>
  <c r="F15" i="38" s="1"/>
  <c r="F16" i="38" s="1"/>
  <c r="F38" i="16"/>
  <c r="F39" i="16" s="1"/>
  <c r="F40" i="16" s="1"/>
  <c r="D25" i="108" l="1"/>
  <c r="G15" i="38"/>
  <c r="G16" i="38" s="1"/>
  <c r="F41" i="16"/>
  <c r="E41" i="16"/>
  <c r="E49" i="16" l="1"/>
  <c r="E50" i="16" s="1"/>
  <c r="F49" i="16"/>
  <c r="F50" i="16" s="1"/>
  <c r="G9" i="16"/>
  <c r="G10" i="16" s="1"/>
  <c r="G11" i="16" s="1"/>
  <c r="H9" i="16"/>
  <c r="H10" i="16" s="1"/>
  <c r="H11" i="16" s="1"/>
  <c r="I9" i="16"/>
  <c r="I10" i="16" s="1"/>
  <c r="I11" i="16" s="1"/>
  <c r="J9" i="16"/>
  <c r="J10" i="16" s="1"/>
  <c r="J11" i="16" s="1"/>
  <c r="J12" i="16" s="1"/>
  <c r="K9" i="16"/>
  <c r="K10" i="16" s="1"/>
  <c r="K11" i="16" s="1"/>
  <c r="L9" i="16"/>
  <c r="L10" i="16" s="1"/>
  <c r="L11" i="16" s="1"/>
  <c r="M9" i="16"/>
  <c r="M10" i="16" s="1"/>
  <c r="M11" i="16" s="1"/>
  <c r="G38" i="16"/>
  <c r="G39" i="16" s="1"/>
  <c r="G40" i="16" s="1"/>
  <c r="H38" i="16"/>
  <c r="H39" i="16" s="1"/>
  <c r="H40" i="16" s="1"/>
  <c r="I38" i="16"/>
  <c r="I39" i="16" s="1"/>
  <c r="I40" i="16" s="1"/>
  <c r="J38" i="16"/>
  <c r="J39" i="16" s="1"/>
  <c r="J40" i="16" s="1"/>
  <c r="K38" i="16"/>
  <c r="K39" i="16" s="1"/>
  <c r="K40" i="16" s="1"/>
  <c r="K41" i="16" s="1"/>
  <c r="L38" i="16"/>
  <c r="L39" i="16" s="1"/>
  <c r="L40" i="16" s="1"/>
  <c r="M38" i="16"/>
  <c r="M39" i="16" s="1"/>
  <c r="M40" i="16" s="1"/>
  <c r="N15" i="38" l="1"/>
  <c r="N16" i="38" s="1"/>
  <c r="M41" i="16"/>
  <c r="J15" i="38"/>
  <c r="J16" i="38" s="1"/>
  <c r="I41" i="16"/>
  <c r="I49" i="16" s="1"/>
  <c r="I50" i="16" s="1"/>
  <c r="I31" i="17" s="1"/>
  <c r="L15" i="38"/>
  <c r="L16" i="38" s="1"/>
  <c r="M49" i="16"/>
  <c r="M50" i="16" s="1"/>
  <c r="I15" i="38"/>
  <c r="I16" i="38" s="1"/>
  <c r="H41" i="16"/>
  <c r="K15" i="38"/>
  <c r="K16" i="38" s="1"/>
  <c r="J41" i="16"/>
  <c r="L20" i="50"/>
  <c r="M11" i="18"/>
  <c r="M7" i="18" s="1"/>
  <c r="M4" i="18" s="1"/>
  <c r="M15" i="39"/>
  <c r="M8" i="39" s="1"/>
  <c r="M17" i="39" s="1"/>
  <c r="L12" i="16"/>
  <c r="K11" i="18"/>
  <c r="K7" i="18" s="1"/>
  <c r="K4" i="18" s="1"/>
  <c r="K15" i="39"/>
  <c r="K8" i="39" s="1"/>
  <c r="K17" i="39" s="1"/>
  <c r="J20" i="50"/>
  <c r="M20" i="50"/>
  <c r="N11" i="18"/>
  <c r="N7" i="18" s="1"/>
  <c r="N4" i="18" s="1"/>
  <c r="N15" i="39"/>
  <c r="N8" i="39" s="1"/>
  <c r="N17" i="39" s="1"/>
  <c r="M12" i="16"/>
  <c r="G41" i="16"/>
  <c r="H15" i="38"/>
  <c r="H16" i="38" s="1"/>
  <c r="H20" i="50"/>
  <c r="I11" i="18"/>
  <c r="I7" i="18" s="1"/>
  <c r="I4" i="18" s="1"/>
  <c r="I15" i="39"/>
  <c r="I8" i="39" s="1"/>
  <c r="I17" i="39" s="1"/>
  <c r="H12" i="16"/>
  <c r="I20" i="50"/>
  <c r="J11" i="18"/>
  <c r="J7" i="18" s="1"/>
  <c r="J4" i="18" s="1"/>
  <c r="J15" i="39"/>
  <c r="J8" i="39" s="1"/>
  <c r="J17" i="39" s="1"/>
  <c r="I12" i="16"/>
  <c r="K20" i="50"/>
  <c r="L11" i="18"/>
  <c r="L7" i="18" s="1"/>
  <c r="L4" i="18" s="1"/>
  <c r="L15" i="39"/>
  <c r="L8" i="39" s="1"/>
  <c r="L17" i="39" s="1"/>
  <c r="K12" i="16"/>
  <c r="G20" i="50"/>
  <c r="H11" i="18"/>
  <c r="H7" i="18" s="1"/>
  <c r="H4" i="18" s="1"/>
  <c r="H15" i="39"/>
  <c r="H8" i="39" s="1"/>
  <c r="H17" i="39" s="1"/>
  <c r="G12" i="16"/>
  <c r="M15" i="38"/>
  <c r="M16" i="38" s="1"/>
  <c r="L41" i="16"/>
  <c r="K49" i="16"/>
  <c r="K50" i="16" s="1"/>
  <c r="K31" i="17" s="1"/>
  <c r="H18" i="39" l="1"/>
  <c r="H27" i="39"/>
  <c r="L18" i="39"/>
  <c r="L27" i="39"/>
  <c r="J27" i="39"/>
  <c r="J18" i="39"/>
  <c r="I27" i="39"/>
  <c r="I18" i="39"/>
  <c r="G49" i="16"/>
  <c r="G50" i="16" s="1"/>
  <c r="N27" i="39"/>
  <c r="N18" i="39"/>
  <c r="K18" i="39"/>
  <c r="K27" i="39"/>
  <c r="H49" i="16"/>
  <c r="H50" i="16" s="1"/>
  <c r="L49" i="16"/>
  <c r="L50" i="16" s="1"/>
  <c r="L31" i="17" s="1"/>
  <c r="J49" i="16"/>
  <c r="J50" i="16" s="1"/>
  <c r="J31" i="17" s="1"/>
  <c r="N31" i="17"/>
  <c r="M31" i="17"/>
  <c r="M27" i="39"/>
  <c r="M18" i="39"/>
  <c r="L30" i="50"/>
  <c r="M29" i="18"/>
  <c r="M6" i="103"/>
  <c r="M6" i="110"/>
  <c r="K30" i="50"/>
  <c r="L29" i="18"/>
  <c r="L6" i="103"/>
  <c r="L6" i="110"/>
  <c r="J30" i="50"/>
  <c r="K29" i="18"/>
  <c r="K6" i="103"/>
  <c r="K6" i="110"/>
  <c r="I30" i="50"/>
  <c r="J29" i="18"/>
  <c r="J6" i="103" s="1"/>
  <c r="J6" i="110"/>
  <c r="R52" i="93"/>
  <c r="R54" i="93"/>
  <c r="R5" i="93" l="1"/>
  <c r="R6" i="93"/>
  <c r="R7" i="93"/>
  <c r="R8" i="93"/>
  <c r="R11" i="93"/>
  <c r="R12" i="93"/>
  <c r="R13" i="93"/>
  <c r="R14" i="93"/>
  <c r="R17" i="93"/>
  <c r="R18" i="93"/>
  <c r="R23" i="93"/>
  <c r="T23" i="93"/>
  <c r="R24" i="93"/>
  <c r="R25" i="93"/>
  <c r="T25" i="93"/>
  <c r="R27" i="93"/>
  <c r="R28" i="93"/>
  <c r="T28" i="93"/>
  <c r="R38" i="93"/>
  <c r="R39" i="93"/>
  <c r="R40" i="93"/>
  <c r="R55" i="93"/>
  <c r="R56" i="93"/>
  <c r="R57" i="93"/>
  <c r="F4" i="100"/>
  <c r="G4" i="100"/>
  <c r="F5" i="100"/>
  <c r="G5" i="100"/>
  <c r="E34" i="100"/>
  <c r="F34" i="100"/>
  <c r="G34" i="100"/>
  <c r="E35" i="100"/>
  <c r="F35" i="100"/>
  <c r="G35" i="100"/>
  <c r="C4" i="107"/>
  <c r="D4" i="107"/>
  <c r="C5" i="107"/>
  <c r="D5" i="107"/>
  <c r="C12" i="50"/>
  <c r="D12" i="50"/>
  <c r="E12" i="50"/>
  <c r="F12" i="50"/>
  <c r="G12" i="50"/>
  <c r="H12" i="50"/>
  <c r="I12" i="50"/>
  <c r="J12" i="50"/>
  <c r="K12" i="50"/>
  <c r="L12" i="50"/>
  <c r="M12" i="50"/>
  <c r="N12" i="50"/>
  <c r="O12" i="50"/>
  <c r="P12" i="50"/>
  <c r="Q12" i="50"/>
  <c r="R12" i="50"/>
  <c r="S12" i="50"/>
  <c r="T12" i="50"/>
  <c r="U12" i="50"/>
  <c r="V12" i="50"/>
  <c r="W12" i="50"/>
  <c r="C15" i="50"/>
  <c r="D15" i="50"/>
  <c r="C20" i="50"/>
  <c r="D20" i="50"/>
  <c r="N20" i="50"/>
  <c r="O20" i="50"/>
  <c r="P20" i="50"/>
  <c r="Q20" i="50"/>
  <c r="R20" i="50"/>
  <c r="S20" i="50"/>
  <c r="T20" i="50"/>
  <c r="U20" i="50"/>
  <c r="V20" i="50"/>
  <c r="W20" i="50"/>
  <c r="C21" i="50"/>
  <c r="D21" i="50"/>
  <c r="E21" i="50"/>
  <c r="F21" i="50"/>
  <c r="G21" i="50"/>
  <c r="H21" i="50"/>
  <c r="I21" i="50"/>
  <c r="J21" i="50"/>
  <c r="K21" i="50"/>
  <c r="L21" i="50"/>
  <c r="M21" i="50"/>
  <c r="N21" i="50"/>
  <c r="O21" i="50"/>
  <c r="P21" i="50"/>
  <c r="Q21" i="50"/>
  <c r="R21" i="50"/>
  <c r="S21" i="50"/>
  <c r="T21" i="50"/>
  <c r="U21" i="50"/>
  <c r="V21" i="50"/>
  <c r="W21" i="50"/>
  <c r="C22" i="50"/>
  <c r="F22" i="50"/>
  <c r="G22" i="50"/>
  <c r="H22" i="50"/>
  <c r="W22" i="50"/>
  <c r="D23" i="50"/>
  <c r="E23" i="50"/>
  <c r="F23" i="50"/>
  <c r="G23" i="50"/>
  <c r="H23" i="50"/>
  <c r="I23" i="50"/>
  <c r="J23" i="50"/>
  <c r="K23" i="50"/>
  <c r="L23" i="50"/>
  <c r="M23" i="50"/>
  <c r="N23" i="50"/>
  <c r="O23" i="50"/>
  <c r="P23" i="50"/>
  <c r="Q23" i="50"/>
  <c r="R23" i="50"/>
  <c r="S23" i="50"/>
  <c r="T23" i="50"/>
  <c r="U23" i="50"/>
  <c r="V23" i="50"/>
  <c r="W23" i="50"/>
  <c r="D24" i="50"/>
  <c r="E24" i="50"/>
  <c r="F24" i="50"/>
  <c r="G24" i="50"/>
  <c r="H24" i="50"/>
  <c r="I24" i="50"/>
  <c r="J24" i="50"/>
  <c r="K24" i="50"/>
  <c r="L24" i="50"/>
  <c r="M24" i="50"/>
  <c r="N24" i="50"/>
  <c r="O24" i="50"/>
  <c r="P24" i="50"/>
  <c r="Q24" i="50"/>
  <c r="R24" i="50"/>
  <c r="S24" i="50"/>
  <c r="T24" i="50"/>
  <c r="U24" i="50"/>
  <c r="V24" i="50"/>
  <c r="W24" i="50"/>
  <c r="C25" i="50"/>
  <c r="D25" i="50"/>
  <c r="E25" i="50"/>
  <c r="F25" i="50"/>
  <c r="G25" i="50"/>
  <c r="H25" i="50"/>
  <c r="I25" i="50"/>
  <c r="J25" i="50"/>
  <c r="K25" i="50"/>
  <c r="L25" i="50"/>
  <c r="M25" i="50"/>
  <c r="N25" i="50"/>
  <c r="O25" i="50"/>
  <c r="P25" i="50"/>
  <c r="Q25" i="50"/>
  <c r="R25" i="50"/>
  <c r="S25" i="50"/>
  <c r="T25" i="50"/>
  <c r="U25" i="50"/>
  <c r="V25" i="50"/>
  <c r="W25" i="50"/>
  <c r="E26" i="50"/>
  <c r="F26" i="50"/>
  <c r="G26" i="50"/>
  <c r="H26" i="50"/>
  <c r="I26" i="50"/>
  <c r="J26" i="50"/>
  <c r="K26" i="50"/>
  <c r="L26" i="50"/>
  <c r="M26" i="50"/>
  <c r="N26" i="50"/>
  <c r="O26" i="50"/>
  <c r="P26" i="50"/>
  <c r="Q26" i="50"/>
  <c r="R26" i="50"/>
  <c r="S26" i="50"/>
  <c r="T26" i="50"/>
  <c r="U26" i="50"/>
  <c r="V26" i="50"/>
  <c r="W26" i="50"/>
  <c r="F27" i="50"/>
  <c r="G27" i="50"/>
  <c r="H27" i="50"/>
  <c r="I27" i="50"/>
  <c r="J27" i="50"/>
  <c r="K27" i="50"/>
  <c r="L27" i="50"/>
  <c r="M27" i="50"/>
  <c r="N27" i="50"/>
  <c r="O27" i="50"/>
  <c r="P27" i="50"/>
  <c r="Q27" i="50"/>
  <c r="R27" i="50"/>
  <c r="S27" i="50"/>
  <c r="T27" i="50"/>
  <c r="U27" i="50"/>
  <c r="V27" i="50"/>
  <c r="W27" i="50"/>
  <c r="W28" i="50"/>
  <c r="C30" i="50"/>
  <c r="F30" i="50"/>
  <c r="G30" i="50"/>
  <c r="H30" i="50"/>
  <c r="W30" i="50"/>
  <c r="D31" i="50"/>
  <c r="E31" i="50"/>
  <c r="F31" i="50"/>
  <c r="G31" i="50"/>
  <c r="H31" i="50"/>
  <c r="I31" i="50"/>
  <c r="J31" i="50"/>
  <c r="K31" i="50"/>
  <c r="L31" i="50"/>
  <c r="M31" i="50"/>
  <c r="N31" i="50"/>
  <c r="O31" i="50"/>
  <c r="P31" i="50"/>
  <c r="Q31" i="50"/>
  <c r="R31" i="50"/>
  <c r="S31" i="50"/>
  <c r="T31" i="50"/>
  <c r="U31" i="50"/>
  <c r="V31" i="50"/>
  <c r="W31" i="50"/>
  <c r="D4" i="18"/>
  <c r="E4" i="18"/>
  <c r="O4" i="18"/>
  <c r="P4" i="18"/>
  <c r="Q4" i="18"/>
  <c r="R4" i="18"/>
  <c r="S4" i="18"/>
  <c r="T4" i="18"/>
  <c r="U4" i="18"/>
  <c r="V4" i="18"/>
  <c r="W4" i="18"/>
  <c r="X4" i="18"/>
  <c r="D7" i="18"/>
  <c r="E7" i="18"/>
  <c r="O7" i="18"/>
  <c r="P7" i="18"/>
  <c r="Q7" i="18"/>
  <c r="R7" i="18"/>
  <c r="S7" i="18"/>
  <c r="T7" i="18"/>
  <c r="U7" i="18"/>
  <c r="V7" i="18"/>
  <c r="W7" i="18"/>
  <c r="X7" i="18"/>
  <c r="D10" i="18"/>
  <c r="E10" i="18"/>
  <c r="D11" i="18"/>
  <c r="E11" i="18"/>
  <c r="O11" i="18"/>
  <c r="P11" i="18"/>
  <c r="Q11" i="18"/>
  <c r="R11" i="18"/>
  <c r="S11" i="18"/>
  <c r="T11" i="18"/>
  <c r="U11" i="18"/>
  <c r="V11" i="18"/>
  <c r="W11" i="18"/>
  <c r="X11" i="18"/>
  <c r="D18" i="18"/>
  <c r="E18" i="18"/>
  <c r="F18" i="18"/>
  <c r="G18" i="18"/>
  <c r="H18" i="18"/>
  <c r="I18" i="18"/>
  <c r="J18" i="18"/>
  <c r="K18" i="18"/>
  <c r="L18" i="18"/>
  <c r="M18" i="18"/>
  <c r="N18" i="18"/>
  <c r="O18" i="18"/>
  <c r="P18" i="18"/>
  <c r="Q18" i="18"/>
  <c r="R18" i="18"/>
  <c r="S18" i="18"/>
  <c r="T18" i="18"/>
  <c r="U18" i="18"/>
  <c r="V18" i="18"/>
  <c r="W18" i="18"/>
  <c r="X18" i="18"/>
  <c r="D24" i="18"/>
  <c r="E24" i="18"/>
  <c r="F24" i="18"/>
  <c r="G24" i="18"/>
  <c r="H24" i="18"/>
  <c r="I24" i="18"/>
  <c r="J24" i="18"/>
  <c r="K24" i="18"/>
  <c r="L24" i="18"/>
  <c r="M24" i="18"/>
  <c r="N24" i="18"/>
  <c r="O24" i="18"/>
  <c r="P24" i="18"/>
  <c r="Q24" i="18"/>
  <c r="R24" i="18"/>
  <c r="S24" i="18"/>
  <c r="T24" i="18"/>
  <c r="U24" i="18"/>
  <c r="V24" i="18"/>
  <c r="W24" i="18"/>
  <c r="X24" i="18"/>
  <c r="D28" i="18"/>
  <c r="E28" i="18"/>
  <c r="F28" i="18"/>
  <c r="G28" i="18"/>
  <c r="H28" i="18"/>
  <c r="I28" i="18"/>
  <c r="J28" i="18"/>
  <c r="K28" i="18"/>
  <c r="L28" i="18"/>
  <c r="M28" i="18"/>
  <c r="N28" i="18"/>
  <c r="O28" i="18"/>
  <c r="P28" i="18"/>
  <c r="Q28" i="18"/>
  <c r="R28" i="18"/>
  <c r="S28" i="18"/>
  <c r="T28" i="18"/>
  <c r="U28" i="18"/>
  <c r="V28" i="18"/>
  <c r="W28" i="18"/>
  <c r="X28" i="18"/>
  <c r="D29" i="18"/>
  <c r="G29" i="18"/>
  <c r="H29" i="18"/>
  <c r="I29" i="18"/>
  <c r="X29" i="18"/>
  <c r="D30" i="18"/>
  <c r="E30" i="18"/>
  <c r="F30" i="18"/>
  <c r="G30" i="18"/>
  <c r="H30" i="18"/>
  <c r="I30" i="18"/>
  <c r="J30" i="18"/>
  <c r="K30" i="18"/>
  <c r="L30" i="18"/>
  <c r="M30" i="18"/>
  <c r="N30" i="18"/>
  <c r="O30" i="18"/>
  <c r="P30" i="18"/>
  <c r="Q30" i="18"/>
  <c r="R30" i="18"/>
  <c r="S30" i="18"/>
  <c r="T30" i="18"/>
  <c r="U30" i="18"/>
  <c r="V30" i="18"/>
  <c r="W30" i="18"/>
  <c r="X30" i="18"/>
  <c r="E31" i="18"/>
  <c r="F31" i="18"/>
  <c r="G31" i="18"/>
  <c r="H31" i="18"/>
  <c r="I31" i="18"/>
  <c r="J31" i="18"/>
  <c r="K31" i="18"/>
  <c r="L31" i="18"/>
  <c r="M31" i="18"/>
  <c r="N31" i="18"/>
  <c r="O31" i="18"/>
  <c r="P31" i="18"/>
  <c r="Q31" i="18"/>
  <c r="R31" i="18"/>
  <c r="S31" i="18"/>
  <c r="T31" i="18"/>
  <c r="U31" i="18"/>
  <c r="V31" i="18"/>
  <c r="W31" i="18"/>
  <c r="X31" i="18"/>
  <c r="E32" i="18"/>
  <c r="F32" i="18"/>
  <c r="G32" i="18"/>
  <c r="H32" i="18"/>
  <c r="I32" i="18"/>
  <c r="J32" i="18"/>
  <c r="K32" i="18"/>
  <c r="L32" i="18"/>
  <c r="M32" i="18"/>
  <c r="N32" i="18"/>
  <c r="O32" i="18"/>
  <c r="P32" i="18"/>
  <c r="Q32" i="18"/>
  <c r="R32" i="18"/>
  <c r="S32" i="18"/>
  <c r="T32" i="18"/>
  <c r="U32" i="18"/>
  <c r="V32" i="18"/>
  <c r="W32" i="18"/>
  <c r="X32" i="18"/>
  <c r="O34" i="18"/>
  <c r="P34" i="18"/>
  <c r="Q34" i="18"/>
  <c r="R34" i="18"/>
  <c r="E37" i="18"/>
  <c r="D8" i="38"/>
  <c r="E8" i="38"/>
  <c r="D12" i="38"/>
  <c r="E12" i="38"/>
  <c r="D13" i="38"/>
  <c r="E13" i="38"/>
  <c r="E14" i="38"/>
  <c r="F14" i="38"/>
  <c r="G14" i="38"/>
  <c r="H14" i="38"/>
  <c r="I14" i="38"/>
  <c r="J14" i="38"/>
  <c r="K14" i="38"/>
  <c r="L14" i="38"/>
  <c r="M14" i="38"/>
  <c r="N14" i="38"/>
  <c r="O14" i="38"/>
  <c r="P14" i="38"/>
  <c r="Q14" i="38"/>
  <c r="R14" i="38"/>
  <c r="S14" i="38"/>
  <c r="T14" i="38"/>
  <c r="U14" i="38"/>
  <c r="V14" i="38"/>
  <c r="W14" i="38"/>
  <c r="X14" i="38"/>
  <c r="D15" i="38"/>
  <c r="E15" i="38"/>
  <c r="O15" i="38"/>
  <c r="P15" i="38"/>
  <c r="Q15" i="38"/>
  <c r="R15" i="38"/>
  <c r="S15" i="38"/>
  <c r="T15" i="38"/>
  <c r="U15" i="38"/>
  <c r="V15" i="38"/>
  <c r="W15" i="38"/>
  <c r="X15" i="38"/>
  <c r="D16" i="38"/>
  <c r="E16" i="38"/>
  <c r="O16" i="38"/>
  <c r="P16" i="38"/>
  <c r="Q16" i="38"/>
  <c r="R16" i="38"/>
  <c r="S16" i="38"/>
  <c r="T16" i="38"/>
  <c r="U16" i="38"/>
  <c r="V16" i="38"/>
  <c r="W16" i="38"/>
  <c r="X16" i="38"/>
  <c r="E17" i="38"/>
  <c r="F17" i="38"/>
  <c r="G17" i="38"/>
  <c r="H17" i="38"/>
  <c r="I17" i="38"/>
  <c r="J17" i="38"/>
  <c r="K17" i="38"/>
  <c r="L17" i="38"/>
  <c r="M17" i="38"/>
  <c r="N17" i="38"/>
  <c r="O17" i="38"/>
  <c r="P17" i="38"/>
  <c r="Q17" i="38"/>
  <c r="R17" i="38"/>
  <c r="S17" i="38"/>
  <c r="T17" i="38"/>
  <c r="U17" i="38"/>
  <c r="V17" i="38"/>
  <c r="W17" i="38"/>
  <c r="X17" i="38"/>
  <c r="D19" i="38"/>
  <c r="F19" i="38"/>
  <c r="D20" i="38"/>
  <c r="F20" i="38"/>
  <c r="D8" i="39"/>
  <c r="E8" i="39"/>
  <c r="O8" i="39"/>
  <c r="P8" i="39"/>
  <c r="Q8" i="39"/>
  <c r="R8" i="39"/>
  <c r="S8" i="39"/>
  <c r="T8" i="39"/>
  <c r="U8" i="39"/>
  <c r="V8" i="39"/>
  <c r="W8" i="39"/>
  <c r="X8" i="39"/>
  <c r="D14" i="39"/>
  <c r="E14" i="39"/>
  <c r="D15" i="39"/>
  <c r="E15" i="39"/>
  <c r="O15" i="39"/>
  <c r="P15" i="39"/>
  <c r="Q15" i="39"/>
  <c r="R15" i="39"/>
  <c r="S15" i="39"/>
  <c r="T15" i="39"/>
  <c r="U15" i="39"/>
  <c r="V15" i="39"/>
  <c r="W15" i="39"/>
  <c r="X15" i="39"/>
  <c r="D17" i="39"/>
  <c r="E17" i="39"/>
  <c r="O17" i="39"/>
  <c r="P17" i="39"/>
  <c r="Q17" i="39"/>
  <c r="R17" i="39"/>
  <c r="S17" i="39"/>
  <c r="T17" i="39"/>
  <c r="U17" i="39"/>
  <c r="V17" i="39"/>
  <c r="W17" i="39"/>
  <c r="X17" i="39"/>
  <c r="D18" i="39"/>
  <c r="E18" i="39"/>
  <c r="O18" i="39"/>
  <c r="P18" i="39"/>
  <c r="Q18" i="39"/>
  <c r="R18" i="39"/>
  <c r="S18" i="39"/>
  <c r="T18" i="39"/>
  <c r="U18" i="39"/>
  <c r="V18" i="39"/>
  <c r="W18" i="39"/>
  <c r="X18" i="39"/>
  <c r="E19" i="39"/>
  <c r="F19" i="39"/>
  <c r="G19" i="39"/>
  <c r="H19" i="39"/>
  <c r="I19" i="39"/>
  <c r="J19" i="39"/>
  <c r="K19" i="39"/>
  <c r="L19" i="39"/>
  <c r="M19" i="39"/>
  <c r="N19" i="39"/>
  <c r="O19" i="39"/>
  <c r="P19" i="39"/>
  <c r="Q19" i="39"/>
  <c r="R19" i="39"/>
  <c r="S19" i="39"/>
  <c r="T19" i="39"/>
  <c r="U19" i="39"/>
  <c r="V19" i="39"/>
  <c r="W19" i="39"/>
  <c r="X19" i="39"/>
  <c r="E20" i="39"/>
  <c r="F20" i="39"/>
  <c r="G20" i="39"/>
  <c r="H20" i="39"/>
  <c r="I20" i="39"/>
  <c r="J20" i="39"/>
  <c r="K20" i="39"/>
  <c r="L20" i="39"/>
  <c r="M20" i="39"/>
  <c r="N20" i="39"/>
  <c r="O20" i="39"/>
  <c r="P20" i="39"/>
  <c r="Q20" i="39"/>
  <c r="R20" i="39"/>
  <c r="S20" i="39"/>
  <c r="T20" i="39"/>
  <c r="U20" i="39"/>
  <c r="V20" i="39"/>
  <c r="W20" i="39"/>
  <c r="X20" i="39"/>
  <c r="D22" i="39"/>
  <c r="F22" i="39"/>
  <c r="D23" i="39"/>
  <c r="F23" i="39"/>
  <c r="D27" i="39"/>
  <c r="E27" i="39"/>
  <c r="O27" i="39"/>
  <c r="P27" i="39"/>
  <c r="Q27" i="39"/>
  <c r="R27" i="39"/>
  <c r="S27" i="39"/>
  <c r="T27" i="39"/>
  <c r="U27" i="39"/>
  <c r="V27" i="39"/>
  <c r="W27" i="39"/>
  <c r="X27" i="39"/>
  <c r="D4" i="103"/>
  <c r="E4" i="103"/>
  <c r="F4" i="103"/>
  <c r="G4" i="103"/>
  <c r="H4" i="103"/>
  <c r="I4" i="103"/>
  <c r="J4" i="103"/>
  <c r="K4" i="103"/>
  <c r="L4" i="103"/>
  <c r="M4" i="103"/>
  <c r="N4" i="103"/>
  <c r="O4" i="103"/>
  <c r="P4" i="103"/>
  <c r="Q4" i="103"/>
  <c r="R4" i="103"/>
  <c r="S4" i="103"/>
  <c r="T4" i="103"/>
  <c r="U4" i="103"/>
  <c r="V4" i="103"/>
  <c r="W4" i="103"/>
  <c r="X4" i="103"/>
  <c r="D5" i="103"/>
  <c r="E5" i="103"/>
  <c r="F5" i="103"/>
  <c r="G5" i="103"/>
  <c r="H5" i="103"/>
  <c r="I5" i="103"/>
  <c r="J5" i="103"/>
  <c r="K5" i="103"/>
  <c r="L5" i="103"/>
  <c r="M5" i="103"/>
  <c r="N5" i="103"/>
  <c r="O5" i="103"/>
  <c r="P5" i="103"/>
  <c r="Q5" i="103"/>
  <c r="R5" i="103"/>
  <c r="S5" i="103"/>
  <c r="T5" i="103"/>
  <c r="U5" i="103"/>
  <c r="V5" i="103"/>
  <c r="W5" i="103"/>
  <c r="X5" i="103"/>
  <c r="D6" i="103"/>
  <c r="G6" i="103"/>
  <c r="H6" i="103"/>
  <c r="I6" i="103"/>
  <c r="X6" i="103"/>
  <c r="D17" i="103"/>
  <c r="E17" i="103"/>
  <c r="F17" i="103"/>
  <c r="G17" i="103"/>
  <c r="H17" i="103"/>
  <c r="I17" i="103"/>
  <c r="J17" i="103"/>
  <c r="K17" i="103"/>
  <c r="L17" i="103"/>
  <c r="M17" i="103"/>
  <c r="N17" i="103"/>
  <c r="O17" i="103"/>
  <c r="P17" i="103"/>
  <c r="Q17" i="103"/>
  <c r="R17" i="103"/>
  <c r="S17" i="103"/>
  <c r="T17" i="103"/>
  <c r="U17" i="103"/>
  <c r="V17" i="103"/>
  <c r="W17" i="103"/>
  <c r="X17" i="103"/>
  <c r="E18" i="103"/>
  <c r="F18" i="103"/>
  <c r="G18" i="103"/>
  <c r="H18" i="103"/>
  <c r="I18" i="103"/>
  <c r="J18" i="103"/>
  <c r="K18" i="103"/>
  <c r="L18" i="103"/>
  <c r="M18" i="103"/>
  <c r="N18" i="103"/>
  <c r="O18" i="103"/>
  <c r="P18" i="103"/>
  <c r="Q18" i="103"/>
  <c r="R18" i="103"/>
  <c r="S18" i="103"/>
  <c r="T18" i="103"/>
  <c r="U18" i="103"/>
  <c r="V18" i="103"/>
  <c r="W18" i="103"/>
  <c r="X18" i="103"/>
  <c r="D23" i="103"/>
  <c r="E23" i="103"/>
  <c r="D24" i="103"/>
  <c r="D25" i="103"/>
  <c r="E25" i="103"/>
  <c r="D27" i="103"/>
  <c r="D28" i="103"/>
  <c r="E28" i="103"/>
  <c r="D4" i="110"/>
  <c r="E4" i="110"/>
  <c r="F4" i="110"/>
  <c r="G4" i="110"/>
  <c r="H4" i="110"/>
  <c r="I4" i="110"/>
  <c r="J4" i="110"/>
  <c r="K4" i="110"/>
  <c r="L4" i="110"/>
  <c r="M4" i="110"/>
  <c r="N4" i="110"/>
  <c r="O4" i="110"/>
  <c r="P4" i="110"/>
  <c r="Q4" i="110"/>
  <c r="R4" i="110"/>
  <c r="S4" i="110"/>
  <c r="T4" i="110"/>
  <c r="U4" i="110"/>
  <c r="V4" i="110"/>
  <c r="W4" i="110"/>
  <c r="X4" i="110"/>
  <c r="D5" i="110"/>
  <c r="E5" i="110"/>
  <c r="F5" i="110"/>
  <c r="G5" i="110"/>
  <c r="H5" i="110"/>
  <c r="I5" i="110"/>
  <c r="J5" i="110"/>
  <c r="K5" i="110"/>
  <c r="L5" i="110"/>
  <c r="M5" i="110"/>
  <c r="N5" i="110"/>
  <c r="O5" i="110"/>
  <c r="P5" i="110"/>
  <c r="Q5" i="110"/>
  <c r="R5" i="110"/>
  <c r="S5" i="110"/>
  <c r="T5" i="110"/>
  <c r="U5" i="110"/>
  <c r="V5" i="110"/>
  <c r="W5" i="110"/>
  <c r="X5" i="110"/>
  <c r="D6" i="110"/>
  <c r="G6" i="110"/>
  <c r="H6" i="110"/>
  <c r="I6" i="110"/>
  <c r="X6" i="110"/>
  <c r="D12" i="110"/>
  <c r="E12" i="110"/>
  <c r="F12" i="110"/>
  <c r="G12" i="110"/>
  <c r="H12" i="110"/>
  <c r="I12" i="110"/>
  <c r="J12" i="110"/>
  <c r="K12" i="110"/>
  <c r="L12" i="110"/>
  <c r="M12" i="110"/>
  <c r="N12" i="110"/>
  <c r="O12" i="110"/>
  <c r="P12" i="110"/>
  <c r="Q12" i="110"/>
  <c r="R12" i="110"/>
  <c r="S12" i="110"/>
  <c r="T12" i="110"/>
  <c r="U12" i="110"/>
  <c r="V12" i="110"/>
  <c r="W12" i="110"/>
  <c r="X12" i="110"/>
  <c r="D16" i="110"/>
  <c r="E16" i="110"/>
  <c r="F16" i="110"/>
  <c r="G16" i="110"/>
  <c r="H16" i="110"/>
  <c r="I16" i="110"/>
  <c r="J16" i="110"/>
  <c r="K16" i="110"/>
  <c r="L16" i="110"/>
  <c r="M16" i="110"/>
  <c r="N16" i="110"/>
  <c r="O16" i="110"/>
  <c r="P16" i="110"/>
  <c r="Q16" i="110"/>
  <c r="R16" i="110"/>
  <c r="S16" i="110"/>
  <c r="T16" i="110"/>
  <c r="U16" i="110"/>
  <c r="V16" i="110"/>
  <c r="W16" i="110"/>
  <c r="X16" i="110"/>
  <c r="D20" i="110"/>
  <c r="E20" i="110"/>
  <c r="F20" i="110"/>
  <c r="G20" i="110"/>
  <c r="H20" i="110"/>
  <c r="I20" i="110"/>
  <c r="J20" i="110"/>
  <c r="K20" i="110"/>
  <c r="L20" i="110"/>
  <c r="M20" i="110"/>
  <c r="N20" i="110"/>
  <c r="O20" i="110"/>
  <c r="P20" i="110"/>
  <c r="Q20" i="110"/>
  <c r="R20" i="110"/>
  <c r="S20" i="110"/>
  <c r="T20" i="110"/>
  <c r="U20" i="110"/>
  <c r="V20" i="110"/>
  <c r="W20" i="110"/>
  <c r="X20" i="110"/>
  <c r="E21" i="110"/>
  <c r="F21" i="110"/>
  <c r="G21" i="110"/>
  <c r="H21" i="110"/>
  <c r="I21" i="110"/>
  <c r="J21" i="110"/>
  <c r="K21" i="110"/>
  <c r="L21" i="110"/>
  <c r="M21" i="110"/>
  <c r="N21" i="110"/>
  <c r="O21" i="110"/>
  <c r="P21" i="110"/>
  <c r="Q21" i="110"/>
  <c r="R21" i="110"/>
  <c r="S21" i="110"/>
  <c r="T21" i="110"/>
  <c r="U21" i="110"/>
  <c r="V21" i="110"/>
  <c r="W21" i="110"/>
  <c r="X21" i="110"/>
  <c r="D24" i="110"/>
  <c r="E24" i="110"/>
  <c r="D25" i="110"/>
  <c r="D26" i="110"/>
  <c r="E26" i="110"/>
  <c r="D27" i="110"/>
  <c r="D34" i="110"/>
  <c r="D36" i="110"/>
  <c r="D38" i="110"/>
  <c r="D40" i="110"/>
  <c r="D41" i="110"/>
  <c r="D42" i="110"/>
  <c r="D46" i="110"/>
  <c r="D48" i="110"/>
  <c r="D50" i="110"/>
  <c r="D52" i="110"/>
  <c r="D53" i="110"/>
  <c r="D54" i="110"/>
  <c r="D59" i="110"/>
  <c r="D61" i="110"/>
  <c r="D63" i="110"/>
  <c r="D65" i="110"/>
  <c r="D66" i="110"/>
  <c r="D67" i="110"/>
  <c r="D71" i="110"/>
  <c r="D73" i="110"/>
  <c r="D75" i="110"/>
  <c r="D77" i="110"/>
  <c r="D78" i="110"/>
  <c r="D79" i="110"/>
  <c r="E5" i="6"/>
  <c r="F5" i="6"/>
  <c r="O29" i="17"/>
  <c r="P29" i="17"/>
  <c r="Q29" i="17"/>
  <c r="R29" i="17"/>
  <c r="D31" i="17"/>
  <c r="O31" i="17"/>
  <c r="P31" i="17"/>
  <c r="Q31" i="17"/>
  <c r="R31" i="17"/>
  <c r="S31" i="17"/>
  <c r="T31" i="17"/>
  <c r="U31" i="17"/>
  <c r="V31" i="17"/>
  <c r="W31" i="17"/>
  <c r="X31" i="17"/>
  <c r="D32" i="17"/>
  <c r="E32" i="17"/>
  <c r="C5" i="16"/>
  <c r="D5" i="16"/>
  <c r="C8" i="16"/>
  <c r="D8" i="16"/>
  <c r="C9" i="16"/>
  <c r="N9" i="16"/>
  <c r="O9" i="16"/>
  <c r="P9" i="16"/>
  <c r="Q9" i="16"/>
  <c r="R9" i="16"/>
  <c r="S9" i="16"/>
  <c r="T9" i="16"/>
  <c r="U9" i="16"/>
  <c r="V9" i="16"/>
  <c r="W9" i="16"/>
  <c r="C10" i="16"/>
  <c r="D10" i="16"/>
  <c r="N10" i="16"/>
  <c r="O10" i="16"/>
  <c r="P10" i="16"/>
  <c r="Q10" i="16"/>
  <c r="R10" i="16"/>
  <c r="S10" i="16"/>
  <c r="T10" i="16"/>
  <c r="U10" i="16"/>
  <c r="V10" i="16"/>
  <c r="W10" i="16"/>
  <c r="C11" i="16"/>
  <c r="D11" i="16"/>
  <c r="N11" i="16"/>
  <c r="O11" i="16"/>
  <c r="P11" i="16"/>
  <c r="Q11" i="16"/>
  <c r="R11" i="16"/>
  <c r="S11" i="16"/>
  <c r="T11" i="16"/>
  <c r="U11" i="16"/>
  <c r="V11" i="16"/>
  <c r="W11" i="16"/>
  <c r="C12" i="16"/>
  <c r="D12" i="16"/>
  <c r="N12" i="16"/>
  <c r="O12" i="16"/>
  <c r="P12" i="16"/>
  <c r="Q12" i="16"/>
  <c r="R12" i="16"/>
  <c r="S12" i="16"/>
  <c r="T12" i="16"/>
  <c r="U12" i="16"/>
  <c r="V12" i="16"/>
  <c r="W12" i="16"/>
  <c r="C13" i="16"/>
  <c r="E13" i="16"/>
  <c r="F13" i="16"/>
  <c r="G13" i="16"/>
  <c r="H13" i="16"/>
  <c r="I13" i="16"/>
  <c r="J13" i="16"/>
  <c r="K13" i="16"/>
  <c r="L13" i="16"/>
  <c r="M13" i="16"/>
  <c r="N13" i="16"/>
  <c r="O13" i="16"/>
  <c r="P13" i="16"/>
  <c r="Q13" i="16"/>
  <c r="R13" i="16"/>
  <c r="S13" i="16"/>
  <c r="T13" i="16"/>
  <c r="U13" i="16"/>
  <c r="V13" i="16"/>
  <c r="W13" i="16"/>
  <c r="C14" i="16"/>
  <c r="D14" i="16"/>
  <c r="E14" i="16"/>
  <c r="F14" i="16"/>
  <c r="G14" i="16"/>
  <c r="H14" i="16"/>
  <c r="I14" i="16"/>
  <c r="J14" i="16"/>
  <c r="K14" i="16"/>
  <c r="L14" i="16"/>
  <c r="M14" i="16"/>
  <c r="N14" i="16"/>
  <c r="O14" i="16"/>
  <c r="P14" i="16"/>
  <c r="Q14" i="16"/>
  <c r="R14" i="16"/>
  <c r="S14" i="16"/>
  <c r="T14" i="16"/>
  <c r="U14" i="16"/>
  <c r="V14" i="16"/>
  <c r="W14" i="16"/>
  <c r="C15" i="16"/>
  <c r="E15" i="16"/>
  <c r="F15" i="16"/>
  <c r="G15" i="16"/>
  <c r="H15" i="16"/>
  <c r="I15" i="16"/>
  <c r="J15" i="16"/>
  <c r="K15" i="16"/>
  <c r="L15" i="16"/>
  <c r="M15" i="16"/>
  <c r="N15" i="16"/>
  <c r="O15" i="16"/>
  <c r="P15" i="16"/>
  <c r="Q15" i="16"/>
  <c r="R15" i="16"/>
  <c r="S15" i="16"/>
  <c r="T15" i="16"/>
  <c r="U15" i="16"/>
  <c r="V15" i="16"/>
  <c r="W15" i="16"/>
  <c r="E16" i="16"/>
  <c r="F16" i="16"/>
  <c r="G16" i="16"/>
  <c r="H16" i="16"/>
  <c r="I16" i="16"/>
  <c r="J16" i="16"/>
  <c r="K16" i="16"/>
  <c r="L16" i="16"/>
  <c r="M16" i="16"/>
  <c r="N16" i="16"/>
  <c r="O16" i="16"/>
  <c r="P16" i="16"/>
  <c r="Q16" i="16"/>
  <c r="R16" i="16"/>
  <c r="S16" i="16"/>
  <c r="T16" i="16"/>
  <c r="U16" i="16"/>
  <c r="V16" i="16"/>
  <c r="W16" i="16"/>
  <c r="C17" i="16"/>
  <c r="D17" i="16"/>
  <c r="E17" i="16"/>
  <c r="F17" i="16"/>
  <c r="G17" i="16"/>
  <c r="H17" i="16"/>
  <c r="I17" i="16"/>
  <c r="J17" i="16"/>
  <c r="K17" i="16"/>
  <c r="L17" i="16"/>
  <c r="M17" i="16"/>
  <c r="N17" i="16"/>
  <c r="O17" i="16"/>
  <c r="P17" i="16"/>
  <c r="Q17" i="16"/>
  <c r="R17" i="16"/>
  <c r="S17" i="16"/>
  <c r="T17" i="16"/>
  <c r="U17" i="16"/>
  <c r="V17" i="16"/>
  <c r="W17" i="16"/>
  <c r="C18" i="16"/>
  <c r="D18" i="16"/>
  <c r="E18" i="16"/>
  <c r="F18" i="16"/>
  <c r="G18" i="16"/>
  <c r="H18" i="16"/>
  <c r="I18" i="16"/>
  <c r="J18" i="16"/>
  <c r="K18" i="16"/>
  <c r="L18" i="16"/>
  <c r="M18" i="16"/>
  <c r="N18" i="16"/>
  <c r="O18" i="16"/>
  <c r="P18" i="16"/>
  <c r="Q18" i="16"/>
  <c r="R18" i="16"/>
  <c r="S18" i="16"/>
  <c r="T18" i="16"/>
  <c r="U18" i="16"/>
  <c r="V18" i="16"/>
  <c r="W18" i="16"/>
  <c r="C19" i="16"/>
  <c r="D19" i="16"/>
  <c r="C20" i="16"/>
  <c r="D20" i="16"/>
  <c r="N23" i="16"/>
  <c r="O23" i="16"/>
  <c r="P23" i="16"/>
  <c r="Q23" i="16"/>
  <c r="N28" i="16"/>
  <c r="O28" i="16"/>
  <c r="P28" i="16"/>
  <c r="Q28" i="16"/>
  <c r="C34" i="16"/>
  <c r="D34" i="16"/>
  <c r="C37" i="16"/>
  <c r="D37" i="16"/>
  <c r="C38" i="16"/>
  <c r="D38" i="16"/>
  <c r="N38" i="16"/>
  <c r="O38" i="16"/>
  <c r="P38" i="16"/>
  <c r="Q38" i="16"/>
  <c r="R38" i="16"/>
  <c r="S38" i="16"/>
  <c r="T38" i="16"/>
  <c r="U38" i="16"/>
  <c r="V38" i="16"/>
  <c r="W38" i="16"/>
  <c r="C39" i="16"/>
  <c r="D39" i="16"/>
  <c r="N39" i="16"/>
  <c r="O39" i="16"/>
  <c r="P39" i="16"/>
  <c r="Q39" i="16"/>
  <c r="R39" i="16"/>
  <c r="S39" i="16"/>
  <c r="T39" i="16"/>
  <c r="U39" i="16"/>
  <c r="V39" i="16"/>
  <c r="W39" i="16"/>
  <c r="C40" i="16"/>
  <c r="D40" i="16"/>
  <c r="N40" i="16"/>
  <c r="O40" i="16"/>
  <c r="P40" i="16"/>
  <c r="Q40" i="16"/>
  <c r="R40" i="16"/>
  <c r="S40" i="16"/>
  <c r="T40" i="16"/>
  <c r="U40" i="16"/>
  <c r="V40" i="16"/>
  <c r="W40" i="16"/>
  <c r="C41" i="16"/>
  <c r="D41" i="16"/>
  <c r="N41" i="16"/>
  <c r="O41" i="16"/>
  <c r="P41" i="16"/>
  <c r="Q41" i="16"/>
  <c r="R41" i="16"/>
  <c r="S41" i="16"/>
  <c r="T41" i="16"/>
  <c r="U41" i="16"/>
  <c r="V41" i="16"/>
  <c r="W41" i="16"/>
  <c r="C42" i="16"/>
  <c r="E42" i="16"/>
  <c r="F42" i="16"/>
  <c r="G42" i="16"/>
  <c r="H42" i="16"/>
  <c r="I42" i="16"/>
  <c r="J42" i="16"/>
  <c r="K42" i="16"/>
  <c r="L42" i="16"/>
  <c r="M42" i="16"/>
  <c r="N42" i="16"/>
  <c r="O42" i="16"/>
  <c r="P42" i="16"/>
  <c r="Q42" i="16"/>
  <c r="R42" i="16"/>
  <c r="S42" i="16"/>
  <c r="T42" i="16"/>
  <c r="U42" i="16"/>
  <c r="V42" i="16"/>
  <c r="W42" i="16"/>
  <c r="C43" i="16"/>
  <c r="D43" i="16"/>
  <c r="E43" i="16"/>
  <c r="F43" i="16"/>
  <c r="G43" i="16"/>
  <c r="H43" i="16"/>
  <c r="I43" i="16"/>
  <c r="J43" i="16"/>
  <c r="K43" i="16"/>
  <c r="L43" i="16"/>
  <c r="M43" i="16"/>
  <c r="N43" i="16"/>
  <c r="O43" i="16"/>
  <c r="P43" i="16"/>
  <c r="Q43" i="16"/>
  <c r="R43" i="16"/>
  <c r="S43" i="16"/>
  <c r="T43" i="16"/>
  <c r="U43" i="16"/>
  <c r="V43" i="16"/>
  <c r="W43" i="16"/>
  <c r="C44" i="16"/>
  <c r="D44" i="16"/>
  <c r="E44" i="16"/>
  <c r="F44" i="16"/>
  <c r="G44" i="16"/>
  <c r="H44" i="16"/>
  <c r="I44" i="16"/>
  <c r="J44" i="16"/>
  <c r="K44" i="16"/>
  <c r="L44" i="16"/>
  <c r="M44" i="16"/>
  <c r="N44" i="16"/>
  <c r="O44" i="16"/>
  <c r="P44" i="16"/>
  <c r="Q44" i="16"/>
  <c r="R44" i="16"/>
  <c r="S44" i="16"/>
  <c r="T44" i="16"/>
  <c r="U44" i="16"/>
  <c r="V44" i="16"/>
  <c r="W44" i="16"/>
  <c r="D45" i="16"/>
  <c r="E45" i="16"/>
  <c r="F45" i="16"/>
  <c r="G45" i="16"/>
  <c r="H45" i="16"/>
  <c r="I45" i="16"/>
  <c r="J45" i="16"/>
  <c r="K45" i="16"/>
  <c r="L45" i="16"/>
  <c r="M45" i="16"/>
  <c r="N45" i="16"/>
  <c r="O45" i="16"/>
  <c r="P45" i="16"/>
  <c r="Q45" i="16"/>
  <c r="R45" i="16"/>
  <c r="S45" i="16"/>
  <c r="T45" i="16"/>
  <c r="U45" i="16"/>
  <c r="V45" i="16"/>
  <c r="W45" i="16"/>
  <c r="C46" i="16"/>
  <c r="D46" i="16"/>
  <c r="E46" i="16"/>
  <c r="F46" i="16"/>
  <c r="G46" i="16"/>
  <c r="H46" i="16"/>
  <c r="I46" i="16"/>
  <c r="J46" i="16"/>
  <c r="K46" i="16"/>
  <c r="L46" i="16"/>
  <c r="M46" i="16"/>
  <c r="N46" i="16"/>
  <c r="O46" i="16"/>
  <c r="P46" i="16"/>
  <c r="Q46" i="16"/>
  <c r="R46" i="16"/>
  <c r="S46" i="16"/>
  <c r="T46" i="16"/>
  <c r="U46" i="16"/>
  <c r="V46" i="16"/>
  <c r="W46" i="16"/>
  <c r="C48" i="16"/>
  <c r="D48" i="16"/>
  <c r="E48" i="16"/>
  <c r="F48" i="16"/>
  <c r="G48" i="16"/>
  <c r="H48" i="16"/>
  <c r="I48" i="16"/>
  <c r="J48" i="16"/>
  <c r="K48" i="16"/>
  <c r="L48" i="16"/>
  <c r="M48" i="16"/>
  <c r="N48" i="16"/>
  <c r="O48" i="16"/>
  <c r="P48" i="16"/>
  <c r="Q48" i="16"/>
  <c r="R48" i="16"/>
  <c r="S48" i="16"/>
  <c r="T48" i="16"/>
  <c r="U48" i="16"/>
  <c r="V48" i="16"/>
  <c r="W48" i="16"/>
  <c r="C49" i="16"/>
  <c r="D49" i="16"/>
  <c r="N49" i="16"/>
  <c r="O49" i="16"/>
  <c r="P49" i="16"/>
  <c r="Q49" i="16"/>
  <c r="R49" i="16"/>
  <c r="S49" i="16"/>
  <c r="T49" i="16"/>
  <c r="U49" i="16"/>
  <c r="V49" i="16"/>
  <c r="W49" i="16"/>
  <c r="C50" i="16"/>
  <c r="D50" i="16"/>
  <c r="N50" i="16"/>
  <c r="O50" i="16"/>
  <c r="P50" i="16"/>
  <c r="Q50" i="16"/>
  <c r="R50" i="16"/>
  <c r="S50" i="16"/>
  <c r="T50" i="16"/>
  <c r="U50" i="16"/>
  <c r="V50" i="16"/>
  <c r="W50" i="16"/>
</calcChain>
</file>

<file path=xl/comments1.xml><?xml version="1.0" encoding="utf-8"?>
<comments xmlns="http://schemas.openxmlformats.org/spreadsheetml/2006/main">
  <authors>
    <author>tc={DD24540E-8563-4F4A-B98F-70A4042B1B9D}</author>
  </authors>
  <commentList>
    <comment ref="K25" authorId="0" shapeId="0">
      <text>
        <r>
          <rPr>
            <sz val="11"/>
            <color theme="1"/>
            <rFont val="宋体"/>
            <charset val="134"/>
            <scheme val="minor"/>
          </rPr>
          <t>[线程批注]
你的Excel版本可读取此线程批注; 但如果在更新版本的Excel中打开文件，则对批注所作的任何改动都将被删除。了解详细信息: https://go.microsoft.com/fwlink/?linkid=870924
注释:
    中信金资提供项目贷款</t>
        </r>
      </text>
    </comment>
  </commentList>
</comments>
</file>

<file path=xl/comments2.xml><?xml version="1.0" encoding="utf-8"?>
<comments xmlns="http://schemas.openxmlformats.org/spreadsheetml/2006/main">
  <authors>
    <author>tc={CD24D681-8803-4C27-A4C3-AB9E2D0B65A4}</author>
    <author>作者</author>
    <author>tc={0A990895-CAFC-4E46-8A12-5C3BA665216C}</author>
  </authors>
  <commentList>
    <comment ref="H10" authorId="0" shapeId="0">
      <text>
        <r>
          <rPr>
            <sz val="11"/>
            <color theme="1"/>
            <rFont val="宋体"/>
            <charset val="134"/>
            <scheme val="minor"/>
          </rPr>
          <t>[线程批注]
你的Excel版本可读取此线程批注; 但如果在更新版本的Excel中打开文件，则对批注所作的任何改动都将被删除。了解详细信息: https://go.microsoft.com/fwlink/?linkid=870924
注释:
    第一期要支付给村集体4000万</t>
        </r>
      </text>
    </comment>
    <comment ref="D23" authorId="1" shapeId="0">
      <text>
        <r>
          <rPr>
            <b/>
            <sz val="9"/>
            <color indexed="81"/>
            <rFont val="宋体"/>
            <family val="3"/>
            <charset val="134"/>
          </rPr>
          <t>Sky123.Or实施方案设定6%，调整为9%测算。</t>
        </r>
      </text>
    </comment>
    <comment ref="K79" authorId="2" shapeId="0">
      <text>
        <r>
          <rPr>
            <sz val="11"/>
            <color theme="1"/>
            <rFont val="宋体"/>
            <charset val="134"/>
            <scheme val="minor"/>
          </rPr>
          <t>[线程批注]
你的Excel版本可读取此线程批注; 但如果在更新版本的Excel中打开文件，则对批注所作的任何改动都将被删除。了解详细信息: https://go.microsoft.com/fwlink/?linkid=870924
注释:
    从本期开始每期支付村集体250万，合计4000万</t>
        </r>
      </text>
    </comment>
  </commentList>
</comments>
</file>

<file path=xl/comments3.xml><?xml version="1.0" encoding="utf-8"?>
<comments xmlns="http://schemas.openxmlformats.org/spreadsheetml/2006/main">
  <authors>
    <author>甘涛</author>
    <author>tc={DD2291BE-AD37-4103-BDA2-B0487493A443}</author>
  </authors>
  <commentList>
    <comment ref="B3" authorId="0" shapeId="0">
      <text>
        <r>
          <rPr>
            <b/>
            <sz val="9"/>
            <color indexed="81"/>
            <rFont val="宋体"/>
            <family val="3"/>
            <charset val="134"/>
          </rPr>
          <t>甘涛:</t>
        </r>
        <r>
          <rPr>
            <sz val="9"/>
            <color indexed="81"/>
            <rFont val="宋体"/>
            <family val="3"/>
            <charset val="134"/>
          </rPr>
          <t xml:space="preserve">
只考虑政府承担部分</t>
        </r>
      </text>
    </comment>
    <comment ref="C13" authorId="1" shapeId="0">
      <text>
        <r>
          <rPr>
            <sz val="11"/>
            <color theme="1"/>
            <rFont val="宋体"/>
            <charset val="134"/>
            <scheme val="minor"/>
          </rPr>
          <t>[线程批注]
你的Excel版本可读取此线程批注; 但如果在更新版本的Excel中打开文件，则对批注所作的任何改动都将被删除。了解详细信息: https://go.microsoft.com/fwlink/?linkid=870924
注释:
    目的是合理避税，使先前季度亏损、后期盈利。</t>
        </r>
      </text>
    </comment>
  </commentList>
</comments>
</file>

<file path=xl/sharedStrings.xml><?xml version="1.0" encoding="utf-8"?>
<sst xmlns="http://schemas.openxmlformats.org/spreadsheetml/2006/main" count="1787" uniqueCount="787">
  <si>
    <r>
      <rPr>
        <b/>
        <sz val="9"/>
        <rFont val="宋体"/>
        <family val="3"/>
        <charset val="134"/>
      </rPr>
      <t>编号</t>
    </r>
  </si>
  <si>
    <r>
      <rPr>
        <b/>
        <sz val="9"/>
        <rFont val="宋体"/>
        <family val="3"/>
        <charset val="134"/>
      </rPr>
      <t>内容</t>
    </r>
  </si>
  <si>
    <r>
      <rPr>
        <b/>
        <sz val="9"/>
        <rFont val="宋体"/>
        <family val="3"/>
        <charset val="134"/>
      </rPr>
      <t>金额</t>
    </r>
  </si>
  <si>
    <r>
      <rPr>
        <b/>
        <sz val="9"/>
        <rFont val="宋体"/>
        <family val="3"/>
        <charset val="134"/>
      </rPr>
      <t>单位</t>
    </r>
  </si>
  <si>
    <r>
      <rPr>
        <b/>
        <sz val="9"/>
        <rFont val="宋体"/>
        <family val="3"/>
        <charset val="134"/>
      </rPr>
      <t>备注</t>
    </r>
  </si>
  <si>
    <t>项目总投资</t>
  </si>
  <si>
    <t>总投资估算（建安未下浮）</t>
  </si>
  <si>
    <r>
      <rPr>
        <sz val="9"/>
        <rFont val="宋体"/>
        <family val="3"/>
        <charset val="134"/>
      </rPr>
      <t>总投资估算（建安下浮后）</t>
    </r>
  </si>
  <si>
    <t>-</t>
  </si>
  <si>
    <t>工程费用</t>
  </si>
  <si>
    <t>工程费用（未下浮）</t>
  </si>
  <si>
    <t>工程费用（建安下浮后）</t>
  </si>
  <si>
    <r>
      <rPr>
        <sz val="9"/>
        <rFont val="宋体"/>
        <family val="3"/>
        <charset val="134"/>
      </rPr>
      <t>资本金比例</t>
    </r>
  </si>
  <si>
    <r>
      <rPr>
        <sz val="9"/>
        <rFont val="宋体"/>
        <family val="3"/>
        <charset val="134"/>
      </rPr>
      <t>资本金金额</t>
    </r>
  </si>
  <si>
    <t>3.2.1</t>
  </si>
  <si>
    <t>资本金</t>
  </si>
  <si>
    <t>注册资本金出资比例</t>
  </si>
  <si>
    <t>3.2.1.1</t>
  </si>
  <si>
    <t>3.2.1.2</t>
  </si>
  <si>
    <t>3.2.1.3</t>
  </si>
  <si>
    <t>3.2.1.4</t>
  </si>
  <si>
    <t>3.2.1.5</t>
  </si>
  <si>
    <t>3.2.2</t>
  </si>
  <si>
    <t>资本公积</t>
  </si>
  <si>
    <t>资本金总出资比例</t>
  </si>
  <si>
    <t>3.2.2.1</t>
  </si>
  <si>
    <t>3.2.2.2</t>
  </si>
  <si>
    <t>3.2.2.3</t>
  </si>
  <si>
    <t>3.2.2.6</t>
  </si>
  <si>
    <t>3.2.2.7</t>
  </si>
  <si>
    <r>
      <rPr>
        <b/>
        <sz val="9"/>
        <rFont val="宋体"/>
        <family val="3"/>
        <charset val="134"/>
      </rPr>
      <t>项目贷款</t>
    </r>
  </si>
  <si>
    <r>
      <rPr>
        <sz val="9"/>
        <rFont val="宋体"/>
        <family val="3"/>
        <charset val="134"/>
      </rPr>
      <t>贷款金额</t>
    </r>
  </si>
  <si>
    <t>合作期</t>
  </si>
  <si>
    <r>
      <rPr>
        <sz val="9"/>
        <rFont val="宋体"/>
        <family val="3"/>
        <charset val="134"/>
      </rPr>
      <t>建设期</t>
    </r>
  </si>
  <si>
    <r>
      <rPr>
        <sz val="9"/>
        <rFont val="宋体"/>
        <family val="3"/>
        <charset val="134"/>
      </rPr>
      <t>运营期</t>
    </r>
  </si>
  <si>
    <r>
      <rPr>
        <b/>
        <sz val="9"/>
        <rFont val="宋体"/>
        <family val="3"/>
        <charset val="134"/>
      </rPr>
      <t>资金成本</t>
    </r>
  </si>
  <si>
    <t>长期借款利率</t>
  </si>
  <si>
    <t>短期借款利率</t>
  </si>
  <si>
    <t>7.1.1</t>
  </si>
  <si>
    <t>7.1.2</t>
  </si>
  <si>
    <t>投资收益</t>
  </si>
  <si>
    <t>序号</t>
  </si>
  <si>
    <t>费用名称</t>
  </si>
  <si>
    <t>投资额</t>
  </si>
  <si>
    <t>估算说明</t>
  </si>
  <si>
    <t>建设投资</t>
  </si>
  <si>
    <t>1.1.1</t>
  </si>
  <si>
    <t>分部分项工程合价</t>
  </si>
  <si>
    <t>1.1.2</t>
  </si>
  <si>
    <t>其他项目合价</t>
  </si>
  <si>
    <t>1.1.2.1</t>
  </si>
  <si>
    <t>暂列金额</t>
  </si>
  <si>
    <t>1.1.2.2</t>
  </si>
  <si>
    <t>暂估价</t>
  </si>
  <si>
    <t>1.1.3</t>
  </si>
  <si>
    <t>总价措施项目合价</t>
  </si>
  <si>
    <t>1.1.4</t>
  </si>
  <si>
    <t>规费</t>
  </si>
  <si>
    <t>1.1.5</t>
  </si>
  <si>
    <t>税金</t>
  </si>
  <si>
    <t>工程建设其他费用</t>
  </si>
  <si>
    <t>1.2.1</t>
  </si>
  <si>
    <t>招标文件约定前期工作费用</t>
  </si>
  <si>
    <t>1.2.2</t>
  </si>
  <si>
    <t>其他工程建设其他费用（其他二类费）</t>
  </si>
  <si>
    <t>预备费</t>
  </si>
  <si>
    <t>1.3.1</t>
  </si>
  <si>
    <t>基本预备费</t>
  </si>
  <si>
    <t>1.3.2</t>
  </si>
  <si>
    <t>涨价预备费</t>
  </si>
  <si>
    <t>建设期利息</t>
  </si>
  <si>
    <t>流动资金</t>
  </si>
  <si>
    <t>指标</t>
  </si>
  <si>
    <t>单位</t>
  </si>
  <si>
    <t>单价</t>
  </si>
  <si>
    <t>占比</t>
  </si>
  <si>
    <t>工程费</t>
  </si>
  <si>
    <t>1.1.6</t>
  </si>
  <si>
    <t>1.2</t>
  </si>
  <si>
    <t>1.2.3</t>
  </si>
  <si>
    <t>1.2.4</t>
  </si>
  <si>
    <t>1.2.7</t>
  </si>
  <si>
    <t>1.3</t>
  </si>
  <si>
    <t>1.3.3</t>
  </si>
  <si>
    <t>1.3.4</t>
  </si>
  <si>
    <t>项</t>
  </si>
  <si>
    <t>项目</t>
  </si>
  <si>
    <t>备注</t>
  </si>
  <si>
    <t>勘察、施工图审查费</t>
  </si>
  <si>
    <t>勘察设计费</t>
  </si>
  <si>
    <t>工程保险费</t>
  </si>
  <si>
    <t>建设期</t>
  </si>
  <si>
    <t>合计</t>
  </si>
  <si>
    <t>占总投资比例</t>
  </si>
  <si>
    <t>投资进度</t>
  </si>
  <si>
    <t>第5年</t>
  </si>
  <si>
    <t>工程建设其他费</t>
  </si>
  <si>
    <t>工程进度</t>
  </si>
  <si>
    <t>资金筹措</t>
  </si>
  <si>
    <t>项目资本金</t>
  </si>
  <si>
    <t>2.1.1</t>
  </si>
  <si>
    <t>用于工程费用</t>
  </si>
  <si>
    <t>2.1.2</t>
  </si>
  <si>
    <t>用于工程其他费</t>
  </si>
  <si>
    <t>工程建设其他费及前期费用投资进度</t>
  </si>
  <si>
    <t>2.1.3</t>
  </si>
  <si>
    <t>用于建设期利息</t>
  </si>
  <si>
    <t>债务性资金</t>
  </si>
  <si>
    <t>2.2.1</t>
  </si>
  <si>
    <t>2.2.2</t>
  </si>
  <si>
    <t>2.2.3</t>
  </si>
  <si>
    <t>2.2.4</t>
  </si>
  <si>
    <t>用于预备费</t>
  </si>
  <si>
    <t>建设期利息计算过程</t>
  </si>
  <si>
    <t>借款额</t>
  </si>
  <si>
    <t>借款利息</t>
  </si>
  <si>
    <t>投资贷款节奏</t>
  </si>
  <si>
    <t>收入合计</t>
  </si>
  <si>
    <t>销项税</t>
  </si>
  <si>
    <t>赛事期</t>
  </si>
  <si>
    <t>运营期</t>
  </si>
  <si>
    <t>税金及附加</t>
  </si>
  <si>
    <t>实际缴纳与抵扣</t>
  </si>
  <si>
    <t>可行性缺口补助（含增值税）</t>
  </si>
  <si>
    <t xml:space="preserve">             可用性服务费（扣除使用者付费部分）</t>
  </si>
  <si>
    <t>运营绩效服务费（含增值税）</t>
  </si>
  <si>
    <t>经营成本</t>
  </si>
  <si>
    <t>初始投资</t>
  </si>
  <si>
    <t>建设投资（当期在建工程）</t>
  </si>
  <si>
    <t>原值</t>
  </si>
  <si>
    <t>净值</t>
  </si>
  <si>
    <t>设备（当期在建工程）</t>
  </si>
  <si>
    <t>合 计</t>
  </si>
  <si>
    <t xml:space="preserve"> 期初借款累计</t>
  </si>
  <si>
    <t>当期借款</t>
  </si>
  <si>
    <t xml:space="preserve"> 当期应计建设期利息</t>
  </si>
  <si>
    <t xml:space="preserve"> 当期应计运营期利息</t>
  </si>
  <si>
    <t xml:space="preserve"> 当期还本付息</t>
  </si>
  <si>
    <t>1.5.1</t>
  </si>
  <si>
    <t>其中：还本</t>
  </si>
  <si>
    <t>1.5.2</t>
  </si>
  <si>
    <t xml:space="preserve"> 支付建设期利息</t>
  </si>
  <si>
    <t>1.5.3</t>
  </si>
  <si>
    <t xml:space="preserve"> 支付运营期利息</t>
  </si>
  <si>
    <t>期末借款余额</t>
  </si>
  <si>
    <t>提前还本</t>
  </si>
  <si>
    <t>财务费用</t>
  </si>
  <si>
    <t>利息支出</t>
  </si>
  <si>
    <t>总成本费用</t>
  </si>
  <si>
    <t>营运收入（1）</t>
  </si>
  <si>
    <t>税金及附加（2）</t>
  </si>
  <si>
    <t>总成本费用（3）</t>
  </si>
  <si>
    <t>利润总额(5) （1-2-3+4）</t>
  </si>
  <si>
    <t>弥补前年度亏损额（6）</t>
  </si>
  <si>
    <t>应纳所得税额(7) （5-6）</t>
  </si>
  <si>
    <t>净利润(9) （5）-（8）</t>
  </si>
  <si>
    <t>期初未分配利润(10)</t>
  </si>
  <si>
    <t>可供分配利润(9+10)
（利润的10%提作公积金）</t>
  </si>
  <si>
    <t>累计法定盈余公积
（如果累计公积金达到注册资本金的50%，则无需再提盈余公积金，累计公积金小于等于50%）</t>
  </si>
  <si>
    <t>投资方利润分配</t>
  </si>
  <si>
    <t>期末未分配利润</t>
  </si>
  <si>
    <t>息税前利润</t>
  </si>
  <si>
    <t>息税折旧前利润</t>
  </si>
  <si>
    <t>弥补以前年度亏损额的计算过程</t>
  </si>
  <si>
    <t>当期留抵弥补亏损额</t>
  </si>
  <si>
    <t>前期留抵弥补亏损额抵扣当期应纳所得额</t>
  </si>
  <si>
    <t>5年内抵扣应纳所得额</t>
  </si>
  <si>
    <t>重复抵扣额度</t>
  </si>
  <si>
    <t>实际抵扣额度</t>
  </si>
  <si>
    <t>5年内未弥补的亏损额</t>
  </si>
  <si>
    <t>剩余留抵弥补亏损额</t>
  </si>
  <si>
    <t>注释：项目全投资现金流量表调整所得税采用融资前利润表所得税</t>
  </si>
  <si>
    <t>净利润(9) （5）-（7）</t>
  </si>
  <si>
    <t>可供分配利润(9+10)</t>
  </si>
  <si>
    <t>提取法定盈余公积金（10）</t>
  </si>
  <si>
    <t>可供投资者分配利润(8-9)</t>
  </si>
  <si>
    <t>应付利润</t>
  </si>
  <si>
    <t>未分配利润</t>
  </si>
  <si>
    <t>现金来源</t>
  </si>
  <si>
    <t>贷款</t>
  </si>
  <si>
    <t>流动资金借款</t>
  </si>
  <si>
    <t>回收流动资金</t>
  </si>
  <si>
    <t>资金运用</t>
  </si>
  <si>
    <t>大修费用</t>
  </si>
  <si>
    <t>流动资产</t>
  </si>
  <si>
    <t>经营成本（含税）</t>
  </si>
  <si>
    <t>偿还债务本金</t>
  </si>
  <si>
    <t>所得税</t>
  </si>
  <si>
    <t>减资</t>
  </si>
  <si>
    <t>当年资金盈余</t>
  </si>
  <si>
    <t>累计资金盈余</t>
  </si>
  <si>
    <t>项目是否正常运作
（累计资金盈余大于0）</t>
  </si>
  <si>
    <t>可用于还本及注册资本减资资金</t>
  </si>
  <si>
    <t>注册资本减资参考值</t>
  </si>
  <si>
    <t>清算参考值</t>
  </si>
  <si>
    <t>经营活动净现金流量</t>
  </si>
  <si>
    <t>现金流入</t>
  </si>
  <si>
    <t>现金流出</t>
  </si>
  <si>
    <t>运营成本</t>
  </si>
  <si>
    <t>投资活动净现金流量</t>
  </si>
  <si>
    <t>流动资金
（运营成本已含）</t>
  </si>
  <si>
    <t>筹资活动净现金流量</t>
  </si>
  <si>
    <t>3.1.1</t>
  </si>
  <si>
    <t>3.1.2</t>
  </si>
  <si>
    <t>项目融资</t>
  </si>
  <si>
    <t>3.1.3</t>
  </si>
  <si>
    <t>股东借款</t>
  </si>
  <si>
    <t>3.1.4</t>
  </si>
  <si>
    <t>各种利息支出</t>
  </si>
  <si>
    <t>偿还长期贷款本金</t>
  </si>
  <si>
    <t>3.2.3</t>
  </si>
  <si>
    <t>偿还短期贷款本金</t>
  </si>
  <si>
    <t>3.2.4</t>
  </si>
  <si>
    <t>3.2.5</t>
  </si>
  <si>
    <t>减资退出</t>
  </si>
  <si>
    <t>净现金流量</t>
  </si>
  <si>
    <t>累计盈余资金</t>
  </si>
  <si>
    <t>验证</t>
  </si>
  <si>
    <t>现金净流量是否与资金来源与运用表一致</t>
  </si>
  <si>
    <t>可用于提前还本(预留2亿元作为周转资金)</t>
  </si>
  <si>
    <t>流动资金（建设期流动资金用于经营成本）</t>
  </si>
  <si>
    <t>所得税前净现金流量</t>
  </si>
  <si>
    <t>所得税前累计净现金流量</t>
  </si>
  <si>
    <t>调整所得税</t>
  </si>
  <si>
    <t>所得税后净现金流量</t>
  </si>
  <si>
    <t>所得税后累计净现金流量</t>
  </si>
  <si>
    <t>项目全投资税前收益率</t>
  </si>
  <si>
    <t>项目投资回收期（税前）</t>
  </si>
  <si>
    <t>项目全投资税后收益率</t>
  </si>
  <si>
    <t>项目投资回收期（税后）</t>
  </si>
  <si>
    <t>借款本金偿还</t>
  </si>
  <si>
    <t>借款利息支付</t>
  </si>
  <si>
    <t>维持运营投资</t>
  </si>
  <si>
    <t>税后净现金流量</t>
  </si>
  <si>
    <t>税前净现金流量</t>
  </si>
  <si>
    <t>税后累计净现金流</t>
  </si>
  <si>
    <t>税前累计净现金流</t>
  </si>
  <si>
    <t>自有资金税前收益率</t>
  </si>
  <si>
    <t>自有资金税后内部收益率</t>
  </si>
  <si>
    <t>按照项目公司未来筹集计划，土地使用费、城市建设配套费、前期工作咨询费、规划设计费、招标代理费需要第一年支付；其余工程其他费用后续支付</t>
    <phoneticPr fontId="27" type="noConversion"/>
  </si>
  <si>
    <r>
      <rPr>
        <b/>
        <sz val="10"/>
        <color theme="1"/>
        <rFont val="宋体"/>
        <family val="3"/>
        <charset val="134"/>
      </rPr>
      <t>序号</t>
    </r>
  </si>
  <si>
    <r>
      <rPr>
        <b/>
        <sz val="10"/>
        <color theme="1"/>
        <rFont val="宋体"/>
        <family val="3"/>
        <charset val="134"/>
      </rPr>
      <t>项目</t>
    </r>
  </si>
  <si>
    <r>
      <rPr>
        <b/>
        <sz val="10"/>
        <color theme="1"/>
        <rFont val="宋体"/>
        <family val="3"/>
        <charset val="134"/>
      </rPr>
      <t>单价</t>
    </r>
  </si>
  <si>
    <r>
      <rPr>
        <b/>
        <sz val="10"/>
        <color theme="1"/>
        <rFont val="宋体"/>
        <family val="3"/>
        <charset val="134"/>
      </rPr>
      <t>数量</t>
    </r>
  </si>
  <si>
    <r>
      <rPr>
        <b/>
        <sz val="10"/>
        <color theme="1"/>
        <rFont val="宋体"/>
        <family val="3"/>
        <charset val="134"/>
      </rPr>
      <t>备注</t>
    </r>
  </si>
  <si>
    <r>
      <rPr>
        <b/>
        <sz val="10"/>
        <color theme="1"/>
        <rFont val="宋体"/>
        <family val="3"/>
        <charset val="134"/>
      </rPr>
      <t>合计</t>
    </r>
  </si>
  <si>
    <r>
      <rPr>
        <sz val="10"/>
        <color theme="1"/>
        <rFont val="宋体"/>
        <family val="3"/>
        <charset val="134"/>
      </rPr>
      <t>工资福利</t>
    </r>
  </si>
  <si>
    <t>资产折旧摊销费</t>
    <phoneticPr fontId="27" type="noConversion"/>
  </si>
  <si>
    <t>一</t>
    <phoneticPr fontId="27" type="noConversion"/>
  </si>
  <si>
    <t>4</t>
  </si>
  <si>
    <t>二</t>
    <phoneticPr fontId="27" type="noConversion"/>
  </si>
  <si>
    <t>三</t>
    <phoneticPr fontId="27" type="noConversion"/>
  </si>
  <si>
    <t>四</t>
    <phoneticPr fontId="27" type="noConversion"/>
  </si>
  <si>
    <t>1.1</t>
  </si>
  <si>
    <t>1.1.7</t>
  </si>
  <si>
    <t>1.1.8</t>
  </si>
  <si>
    <t>1.1.9</t>
  </si>
  <si>
    <t>1.2.8</t>
  </si>
  <si>
    <t>1.2.9</t>
  </si>
  <si>
    <t>1.3.5</t>
  </si>
  <si>
    <t>1.3.6</t>
  </si>
  <si>
    <t>1.3.7</t>
  </si>
  <si>
    <t>1.3.8</t>
  </si>
  <si>
    <t>1.3.9</t>
  </si>
  <si>
    <t>1</t>
  </si>
  <si>
    <t>2</t>
  </si>
  <si>
    <t>3</t>
  </si>
  <si>
    <t>4.2</t>
  </si>
  <si>
    <t>5.2</t>
  </si>
  <si>
    <t>5.3</t>
  </si>
  <si>
    <t>6</t>
  </si>
  <si>
    <t>6.2</t>
  </si>
  <si>
    <t>7</t>
  </si>
  <si>
    <t>7.2</t>
  </si>
  <si>
    <t>7.3</t>
  </si>
  <si>
    <t>9</t>
  </si>
  <si>
    <t>10</t>
  </si>
  <si>
    <t>11</t>
  </si>
  <si>
    <t>工程勘察费</t>
  </si>
  <si>
    <t>工程设计费</t>
  </si>
  <si>
    <t>环境影响咨询服务费</t>
  </si>
  <si>
    <t>工程监理费</t>
  </si>
  <si>
    <t>造价咨询服务费</t>
  </si>
  <si>
    <t>招标代理费</t>
  </si>
  <si>
    <t>工程量清单及招标控制价编制费</t>
  </si>
  <si>
    <t>6.3</t>
  </si>
  <si>
    <t>工程跟踪审计服务费</t>
  </si>
  <si>
    <t>工程结算审核费</t>
  </si>
  <si>
    <t>联合试运转费</t>
  </si>
  <si>
    <t>场地准备和临时设施</t>
  </si>
  <si>
    <t>材料检测试验费</t>
  </si>
  <si>
    <t>工程监测费</t>
  </si>
  <si>
    <t>12</t>
  </si>
  <si>
    <t>0</t>
    <phoneticPr fontId="27" type="noConversion"/>
  </si>
  <si>
    <t>项</t>
    <phoneticPr fontId="27" type="noConversion"/>
  </si>
  <si>
    <t>工程费用占比</t>
    <phoneticPr fontId="27" type="noConversion"/>
  </si>
  <si>
    <t>工程其他费用占比</t>
    <phoneticPr fontId="27" type="noConversion"/>
  </si>
  <si>
    <t>预备费占比</t>
    <phoneticPr fontId="27" type="noConversion"/>
  </si>
  <si>
    <t>利息占比</t>
    <phoneticPr fontId="27" type="noConversion"/>
  </si>
  <si>
    <t>总投占比</t>
    <phoneticPr fontId="27" type="noConversion"/>
  </si>
  <si>
    <t>4.3</t>
  </si>
  <si>
    <t>4.4</t>
  </si>
  <si>
    <t>4.5</t>
  </si>
  <si>
    <t>4.6</t>
  </si>
  <si>
    <t>4.7</t>
  </si>
  <si>
    <t>4.8</t>
  </si>
  <si>
    <t>收入占比</t>
    <phoneticPr fontId="27" type="noConversion"/>
  </si>
  <si>
    <t>2</t>
    <phoneticPr fontId="27" type="noConversion"/>
  </si>
  <si>
    <t>7.5</t>
  </si>
  <si>
    <t>项目公司成本</t>
    <phoneticPr fontId="27" type="noConversion"/>
  </si>
  <si>
    <t>弥补前年度亏损额（6）</t>
    <phoneticPr fontId="27" type="noConversion"/>
  </si>
  <si>
    <t>参照辅助
计算</t>
    <phoneticPr fontId="27" type="noConversion"/>
  </si>
  <si>
    <t>总包管理费毛收入</t>
  </si>
  <si>
    <t>总包管理成本</t>
  </si>
  <si>
    <t>实际出资额</t>
  </si>
  <si>
    <t>累计增量净现金流量</t>
  </si>
  <si>
    <t>总包管理费率</t>
  </si>
  <si>
    <t>FIRR</t>
  </si>
  <si>
    <t>投资回收期（静态）</t>
  </si>
  <si>
    <t>工程净利润</t>
  </si>
  <si>
    <t>建设期累计净现金流</t>
  </si>
  <si>
    <t>总包管理费净收入（1.3.=1.3.1-1.3.2-1.3.3)</t>
    <phoneticPr fontId="27" type="noConversion"/>
  </si>
  <si>
    <t>还款期限(公益类)</t>
    <phoneticPr fontId="27" type="noConversion"/>
  </si>
  <si>
    <r>
      <rPr>
        <sz val="9"/>
        <rFont val="宋体"/>
        <family val="3"/>
        <charset val="134"/>
      </rPr>
      <t>还款期限</t>
    </r>
    <r>
      <rPr>
        <sz val="9"/>
        <rFont val="Arial Narrow"/>
        <family val="2"/>
      </rPr>
      <t>(</t>
    </r>
    <r>
      <rPr>
        <sz val="9"/>
        <rFont val="宋体"/>
        <family val="3"/>
        <charset val="134"/>
      </rPr>
      <t>经营类</t>
    </r>
    <r>
      <rPr>
        <sz val="9"/>
        <rFont val="Arial Narrow"/>
        <family val="2"/>
      </rPr>
      <t>)</t>
    </r>
    <phoneticPr fontId="27" type="noConversion"/>
  </si>
  <si>
    <t>序号</t>
    <phoneticPr fontId="27" type="noConversion"/>
  </si>
  <si>
    <t>工程下浮率</t>
    <phoneticPr fontId="27" type="noConversion"/>
  </si>
  <si>
    <t>其中：其他股东</t>
    <phoneticPr fontId="27" type="noConversion"/>
  </si>
  <si>
    <t>政府建设期拨款</t>
    <phoneticPr fontId="27" type="noConversion"/>
  </si>
  <si>
    <t>财务基本假设/参数</t>
    <phoneticPr fontId="27" type="noConversion"/>
  </si>
  <si>
    <t>其中：其他股东</t>
    <phoneticPr fontId="27" type="noConversion"/>
  </si>
  <si>
    <t>注册资本金</t>
    <phoneticPr fontId="27" type="noConversion"/>
  </si>
  <si>
    <t>建安工程费</t>
    <phoneticPr fontId="27" type="noConversion"/>
  </si>
  <si>
    <t xml:space="preserve">设备及工具、器具购置费  </t>
    <phoneticPr fontId="27" type="noConversion"/>
  </si>
  <si>
    <t xml:space="preserve"> 临时工程  </t>
  </si>
  <si>
    <t xml:space="preserve"> 路基工程  </t>
  </si>
  <si>
    <t xml:space="preserve"> 路面工程  </t>
  </si>
  <si>
    <t xml:space="preserve"> 桥梁涵洞工程  </t>
  </si>
  <si>
    <t xml:space="preserve"> 交叉工程  </t>
  </si>
  <si>
    <t xml:space="preserve"> 隧道工程  </t>
  </si>
  <si>
    <t xml:space="preserve"> 公路设施及预埋管线工程  </t>
  </si>
  <si>
    <t xml:space="preserve"> 绿化及环境保护工程  </t>
  </si>
  <si>
    <t>预备费=（一+二）*0%</t>
    <phoneticPr fontId="27" type="noConversion"/>
  </si>
  <si>
    <t>土地费用</t>
    <phoneticPr fontId="27" type="noConversion"/>
  </si>
  <si>
    <t>总数量</t>
    <phoneticPr fontId="27" type="noConversion"/>
  </si>
  <si>
    <t xml:space="preserve"> 管理、养护及服务（建设期）</t>
    <phoneticPr fontId="27" type="noConversion"/>
  </si>
  <si>
    <t>金额</t>
    <phoneticPr fontId="27" type="noConversion"/>
  </si>
  <si>
    <t>2</t>
    <phoneticPr fontId="27" type="noConversion"/>
  </si>
  <si>
    <t>建设单位管理费</t>
    <phoneticPr fontId="27" type="noConversion"/>
  </si>
  <si>
    <t>研究试验费</t>
    <phoneticPr fontId="27" type="noConversion"/>
  </si>
  <si>
    <t>前期工作费用</t>
    <phoneticPr fontId="27" type="noConversion"/>
  </si>
  <si>
    <t>移交培训费</t>
    <phoneticPr fontId="27" type="noConversion"/>
  </si>
  <si>
    <t>4.1</t>
    <phoneticPr fontId="27" type="noConversion"/>
  </si>
  <si>
    <t>5</t>
    <phoneticPr fontId="27" type="noConversion"/>
  </si>
  <si>
    <t>7.1</t>
    <phoneticPr fontId="27" type="noConversion"/>
  </si>
  <si>
    <t>7.2</t>
    <phoneticPr fontId="27" type="noConversion"/>
  </si>
  <si>
    <t>7.4</t>
  </si>
  <si>
    <t>8</t>
    <phoneticPr fontId="27" type="noConversion"/>
  </si>
  <si>
    <t>13</t>
  </si>
  <si>
    <t>1号路段-平原105KM</t>
    <phoneticPr fontId="27" type="noConversion"/>
  </si>
  <si>
    <t>3号公路-平原168KM</t>
    <phoneticPr fontId="27" type="noConversion"/>
  </si>
  <si>
    <t>政府建设拨款</t>
    <phoneticPr fontId="27" type="noConversion"/>
  </si>
  <si>
    <t>小计</t>
    <phoneticPr fontId="27" type="noConversion"/>
  </si>
  <si>
    <t>税率与汇率</t>
    <phoneticPr fontId="27" type="noConversion"/>
  </si>
  <si>
    <t>其他业务营业税金及附加</t>
  </si>
  <si>
    <t>营业税及附加</t>
    <phoneticPr fontId="27" type="noConversion"/>
  </si>
  <si>
    <t>不含税收入</t>
    <phoneticPr fontId="27" type="noConversion"/>
  </si>
  <si>
    <t>当期摊销费</t>
    <phoneticPr fontId="27" type="noConversion"/>
  </si>
  <si>
    <t>境内企业</t>
    <phoneticPr fontId="27" type="noConversion"/>
  </si>
  <si>
    <t>年增长率</t>
  </si>
  <si>
    <t>运营管理费用（百万元/年）</t>
  </si>
  <si>
    <t>大修费用（倍数*当年养护费用）</t>
  </si>
  <si>
    <t>经营成本引用数据</t>
    <phoneticPr fontId="27" type="noConversion"/>
  </si>
  <si>
    <t>参数-百万$</t>
    <phoneticPr fontId="27" type="noConversion"/>
  </si>
  <si>
    <t>每10年1次</t>
    <phoneticPr fontId="27" type="noConversion"/>
  </si>
  <si>
    <t>2.1</t>
    <phoneticPr fontId="27" type="noConversion"/>
  </si>
  <si>
    <t>2.2</t>
    <phoneticPr fontId="27" type="noConversion"/>
  </si>
  <si>
    <t>经营维护成本</t>
    <phoneticPr fontId="27" type="noConversion"/>
  </si>
  <si>
    <t xml:space="preserve"> 大修费  </t>
  </si>
  <si>
    <t>1.1</t>
    <phoneticPr fontId="27" type="noConversion"/>
  </si>
  <si>
    <t>项目</t>
    <phoneticPr fontId="27" type="noConversion"/>
  </si>
  <si>
    <t>年经营成本</t>
    <phoneticPr fontId="27" type="noConversion"/>
  </si>
  <si>
    <t>年经营合理利润</t>
    <phoneticPr fontId="27" type="noConversion"/>
  </si>
  <si>
    <t>经营成本+经营合理利润</t>
    <phoneticPr fontId="27" type="noConversion"/>
  </si>
  <si>
    <t>可行性缺口补助（4）</t>
    <phoneticPr fontId="27" type="noConversion"/>
  </si>
  <si>
    <t>所得税(8) （7）*15%</t>
    <phoneticPr fontId="27" type="noConversion"/>
  </si>
  <si>
    <r>
      <t xml:space="preserve">提取法定盈余公积金
</t>
    </r>
    <r>
      <rPr>
        <sz val="9"/>
        <color rgb="FFFF0000"/>
        <rFont val="宋体"/>
        <family val="3"/>
        <charset val="134"/>
      </rPr>
      <t>暂按中国法规定，不少于50%</t>
    </r>
    <phoneticPr fontId="27" type="noConversion"/>
  </si>
  <si>
    <t>回收资产处置余值</t>
    <phoneticPr fontId="27" type="noConversion"/>
  </si>
  <si>
    <t>营业税及附加</t>
    <phoneticPr fontId="27" type="noConversion"/>
  </si>
  <si>
    <t>回收资产余值</t>
    <phoneticPr fontId="27" type="noConversion"/>
  </si>
  <si>
    <t>中信建设企业所得税</t>
    <phoneticPr fontId="27" type="noConversion"/>
  </si>
  <si>
    <t>总包管理费营业税及附加</t>
    <phoneticPr fontId="27" type="noConversion"/>
  </si>
  <si>
    <t>总包份额比例</t>
  </si>
  <si>
    <t>总包份额比例</t>
    <phoneticPr fontId="27" type="noConversion"/>
  </si>
  <si>
    <t>净现值（基准投资折现率）</t>
  </si>
  <si>
    <t>净现值（基准投资折现率）</t>
    <phoneticPr fontId="27" type="noConversion"/>
  </si>
  <si>
    <t>编号</t>
    <phoneticPr fontId="27" type="noConversion"/>
  </si>
  <si>
    <t>内容</t>
    <phoneticPr fontId="27" type="noConversion"/>
  </si>
  <si>
    <t>单位</t>
    <phoneticPr fontId="27" type="noConversion"/>
  </si>
  <si>
    <t>备注</t>
    <phoneticPr fontId="27" type="noConversion"/>
  </si>
  <si>
    <t>财务指标结果/评价</t>
    <phoneticPr fontId="27" type="noConversion"/>
  </si>
  <si>
    <t>项目全投资所得税前收益率</t>
    <phoneticPr fontId="27" type="noConversion"/>
  </si>
  <si>
    <t>项目全投资所得税后收益率</t>
    <phoneticPr fontId="27" type="noConversion"/>
  </si>
  <si>
    <t>项目全投资回收期（所得税前）</t>
    <phoneticPr fontId="27" type="noConversion"/>
  </si>
  <si>
    <t>项目全投资回收期（所得税后）</t>
    <phoneticPr fontId="27" type="noConversion"/>
  </si>
  <si>
    <t>项目自有资金所得税前收益率</t>
    <phoneticPr fontId="27" type="noConversion"/>
  </si>
  <si>
    <t>项目自有资金投资所得税后收益率</t>
    <phoneticPr fontId="27" type="noConversion"/>
  </si>
  <si>
    <t>项目自有资金投资回收期（所得税后）</t>
    <phoneticPr fontId="27" type="noConversion"/>
  </si>
  <si>
    <t>项目自有资金投资回收期（所得税前）</t>
    <phoneticPr fontId="27" type="noConversion"/>
  </si>
  <si>
    <t>资本金回报指标（股权投资者）</t>
    <phoneticPr fontId="27" type="noConversion"/>
  </si>
  <si>
    <t>借贷资金回报指标（债权投资者）</t>
    <phoneticPr fontId="27" type="noConversion"/>
  </si>
  <si>
    <t>全投资回报指标（股权债权所有者）</t>
    <phoneticPr fontId="27" type="noConversion"/>
  </si>
  <si>
    <t>利息备付系数</t>
    <phoneticPr fontId="27" type="noConversion"/>
  </si>
  <si>
    <t>利息备付率</t>
    <phoneticPr fontId="27" type="noConversion"/>
  </si>
  <si>
    <t>偿债备付率EBITDA/</t>
    <phoneticPr fontId="27" type="noConversion"/>
  </si>
  <si>
    <t>综合偿债备付率（DSCR）</t>
    <phoneticPr fontId="27" type="noConversion"/>
  </si>
  <si>
    <t>息税前利润EBIT</t>
    <phoneticPr fontId="27" type="noConversion"/>
  </si>
  <si>
    <t>息税折旧前利润EBITDA</t>
    <phoneticPr fontId="27" type="noConversion"/>
  </si>
  <si>
    <t>中信建设回报指标（股权投资者+工程总包商）</t>
    <phoneticPr fontId="27" type="noConversion"/>
  </si>
  <si>
    <t>经营者回报指标</t>
    <phoneticPr fontId="27" type="noConversion"/>
  </si>
  <si>
    <t>5.1</t>
    <phoneticPr fontId="27" type="noConversion"/>
  </si>
  <si>
    <t>年平均利润率</t>
    <phoneticPr fontId="27" type="noConversion"/>
  </si>
  <si>
    <t>年平均收入</t>
    <phoneticPr fontId="27" type="noConversion"/>
  </si>
  <si>
    <t>年平均成本</t>
    <phoneticPr fontId="27" type="noConversion"/>
  </si>
  <si>
    <t>年平均利润</t>
    <phoneticPr fontId="27" type="noConversion"/>
  </si>
  <si>
    <t>5.4</t>
  </si>
  <si>
    <t>5.5</t>
  </si>
  <si>
    <t>经营者资金周转率=5.2/5.3</t>
    <phoneticPr fontId="27" type="noConversion"/>
  </si>
  <si>
    <t>假定第三方经营者</t>
    <phoneticPr fontId="27" type="noConversion"/>
  </si>
  <si>
    <t>6.1</t>
    <phoneticPr fontId="27" type="noConversion"/>
  </si>
  <si>
    <t>实分利润</t>
    <phoneticPr fontId="27" type="noConversion"/>
  </si>
  <si>
    <t>实际出资额</t>
    <phoneticPr fontId="27" type="noConversion"/>
  </si>
  <si>
    <t>无偿接收固定资产估值</t>
    <phoneticPr fontId="27" type="noConversion"/>
  </si>
  <si>
    <t>资产与负债</t>
    <phoneticPr fontId="27" type="noConversion"/>
  </si>
  <si>
    <t>7.3</t>
    <phoneticPr fontId="27" type="noConversion"/>
  </si>
  <si>
    <t>建设期末股权投资者总资产</t>
    <phoneticPr fontId="27" type="noConversion"/>
  </si>
  <si>
    <t>建设期末股权投资者总负债</t>
    <phoneticPr fontId="27" type="noConversion"/>
  </si>
  <si>
    <t>建设期末股权投资者总所有者权益</t>
    <phoneticPr fontId="27" type="noConversion"/>
  </si>
  <si>
    <t>投资回报率（ROI）</t>
    <phoneticPr fontId="27" type="noConversion"/>
  </si>
  <si>
    <t>反映经营回报</t>
    <phoneticPr fontId="27" type="noConversion"/>
  </si>
  <si>
    <t>总资产回报率（ROA）</t>
    <phoneticPr fontId="27" type="noConversion"/>
  </si>
  <si>
    <t>7.6</t>
  </si>
  <si>
    <t>股东权益回报率(ROE)</t>
    <phoneticPr fontId="27" type="noConversion"/>
  </si>
  <si>
    <t>反映资产回报</t>
    <phoneticPr fontId="27" type="noConversion"/>
  </si>
  <si>
    <t>反映股权回报</t>
    <phoneticPr fontId="27" type="noConversion"/>
  </si>
  <si>
    <t>所得税后</t>
    <phoneticPr fontId="27" type="noConversion"/>
  </si>
  <si>
    <t>全投资现金流量图（所得税后）</t>
    <phoneticPr fontId="27" type="noConversion"/>
  </si>
  <si>
    <t>1.4</t>
    <phoneticPr fontId="27" type="noConversion"/>
  </si>
  <si>
    <t>1.5</t>
  </si>
  <si>
    <t>1.6</t>
  </si>
  <si>
    <t>1.7</t>
  </si>
  <si>
    <t>1.8</t>
  </si>
  <si>
    <t>1.3</t>
    <phoneticPr fontId="27" type="noConversion"/>
  </si>
  <si>
    <t>1.2</t>
    <phoneticPr fontId="27" type="noConversion"/>
  </si>
  <si>
    <t>政府建设拨款</t>
    <phoneticPr fontId="27" type="noConversion"/>
  </si>
  <si>
    <t>政府建设拨款投入</t>
    <phoneticPr fontId="27" type="noConversion"/>
  </si>
  <si>
    <t>建设期拨款</t>
    <phoneticPr fontId="27" type="noConversion"/>
  </si>
  <si>
    <t>税率</t>
    <phoneticPr fontId="27" type="noConversion"/>
  </si>
  <si>
    <t>1.1.1</t>
    <phoneticPr fontId="27" type="noConversion"/>
  </si>
  <si>
    <t xml:space="preserve">    物业管理费</t>
    <phoneticPr fontId="27" type="noConversion"/>
  </si>
  <si>
    <t>1.1.2</t>
    <phoneticPr fontId="27" type="noConversion"/>
  </si>
  <si>
    <t xml:space="preserve">    其他合计</t>
    <phoneticPr fontId="27" type="noConversion"/>
  </si>
  <si>
    <t>2.1.1</t>
    <phoneticPr fontId="27" type="noConversion"/>
  </si>
  <si>
    <t>2.1.2</t>
    <phoneticPr fontId="27" type="noConversion"/>
  </si>
  <si>
    <t>工程建设</t>
    <phoneticPr fontId="27" type="noConversion"/>
  </si>
  <si>
    <t>工程建设其他费用</t>
    <phoneticPr fontId="27" type="noConversion"/>
  </si>
  <si>
    <t>运维经营成本进项税</t>
    <phoneticPr fontId="27" type="noConversion"/>
  </si>
  <si>
    <t>1号路段-平原107KM</t>
    <phoneticPr fontId="27" type="noConversion"/>
  </si>
  <si>
    <t>3号公路-平原148KM</t>
    <phoneticPr fontId="27" type="noConversion"/>
  </si>
  <si>
    <t>增值税</t>
    <phoneticPr fontId="27" type="noConversion"/>
  </si>
  <si>
    <t>参考，一般需大于1.1</t>
    <phoneticPr fontId="27" type="noConversion"/>
  </si>
  <si>
    <t>参考，一般需大于2</t>
    <phoneticPr fontId="27" type="noConversion"/>
  </si>
  <si>
    <t>海外投资保险费用</t>
    <phoneticPr fontId="27" type="noConversion"/>
  </si>
  <si>
    <t>总包所得税</t>
    <phoneticPr fontId="27" type="noConversion"/>
  </si>
  <si>
    <t>1.3.4</t>
    <phoneticPr fontId="27" type="noConversion"/>
  </si>
  <si>
    <t>真实经营性收入</t>
    <phoneticPr fontId="27" type="noConversion"/>
  </si>
  <si>
    <t>工程总包毛利率</t>
    <phoneticPr fontId="27" type="noConversion"/>
  </si>
  <si>
    <t>工程造价调整系数</t>
    <phoneticPr fontId="27" type="noConversion"/>
  </si>
  <si>
    <t>第1年Q1</t>
    <phoneticPr fontId="27" type="noConversion"/>
  </si>
  <si>
    <t>第1年Q2</t>
    <phoneticPr fontId="27" type="noConversion"/>
  </si>
  <si>
    <t>第1年Q3</t>
    <phoneticPr fontId="27" type="noConversion"/>
  </si>
  <si>
    <t>第1年Q4</t>
    <phoneticPr fontId="27" type="noConversion"/>
  </si>
  <si>
    <t>第2年Q1</t>
    <phoneticPr fontId="27" type="noConversion"/>
  </si>
  <si>
    <t>第2年Q2</t>
    <phoneticPr fontId="27" type="noConversion"/>
  </si>
  <si>
    <t>第2年Q3</t>
    <phoneticPr fontId="27" type="noConversion"/>
  </si>
  <si>
    <t>第2年Q4</t>
    <phoneticPr fontId="27" type="noConversion"/>
  </si>
  <si>
    <t>第3年Q1</t>
    <phoneticPr fontId="27" type="noConversion"/>
  </si>
  <si>
    <t>第3年Q2</t>
    <phoneticPr fontId="27" type="noConversion"/>
  </si>
  <si>
    <t>第3年Q3</t>
    <phoneticPr fontId="27" type="noConversion"/>
  </si>
  <si>
    <t>第3年Q4</t>
    <phoneticPr fontId="27" type="noConversion"/>
  </si>
  <si>
    <t>第4年Q1</t>
    <phoneticPr fontId="27" type="noConversion"/>
  </si>
  <si>
    <t>第4年Q2</t>
    <phoneticPr fontId="27" type="noConversion"/>
  </si>
  <si>
    <t>第4年Q3</t>
    <phoneticPr fontId="27" type="noConversion"/>
  </si>
  <si>
    <t>第4年Q4</t>
    <phoneticPr fontId="27" type="noConversion"/>
  </si>
  <si>
    <t>第5年Q1</t>
    <phoneticPr fontId="27" type="noConversion"/>
  </si>
  <si>
    <t>第5年Q2</t>
    <phoneticPr fontId="27" type="noConversion"/>
  </si>
  <si>
    <t>第5年Q3</t>
    <phoneticPr fontId="27" type="noConversion"/>
  </si>
  <si>
    <t>第5年Q4</t>
    <phoneticPr fontId="27" type="noConversion"/>
  </si>
  <si>
    <t>合计</t>
    <phoneticPr fontId="27" type="noConversion"/>
  </si>
  <si>
    <t>工程后续成本</t>
    <phoneticPr fontId="27" type="noConversion"/>
  </si>
  <si>
    <t>基础设施费</t>
    <phoneticPr fontId="27" type="noConversion"/>
  </si>
  <si>
    <t>清水湾项目</t>
    <phoneticPr fontId="27" type="noConversion"/>
  </si>
  <si>
    <t>1.2.1</t>
    <phoneticPr fontId="27" type="noConversion"/>
  </si>
  <si>
    <t>1.2.2</t>
    <phoneticPr fontId="27" type="noConversion"/>
  </si>
  <si>
    <t>1.2.3</t>
    <phoneticPr fontId="27" type="noConversion"/>
  </si>
  <si>
    <t>1.2.4</t>
    <phoneticPr fontId="27" type="noConversion"/>
  </si>
  <si>
    <t>1.2.5</t>
    <phoneticPr fontId="27" type="noConversion"/>
  </si>
  <si>
    <t>1.1</t>
    <phoneticPr fontId="27" type="noConversion"/>
  </si>
  <si>
    <t>第6年Q3</t>
    <phoneticPr fontId="27" type="noConversion"/>
  </si>
  <si>
    <t>第6年Q4</t>
    <phoneticPr fontId="27" type="noConversion"/>
  </si>
  <si>
    <t>第7年Q1</t>
    <phoneticPr fontId="27" type="noConversion"/>
  </si>
  <si>
    <t>第7年Q2</t>
    <phoneticPr fontId="27" type="noConversion"/>
  </si>
  <si>
    <t>第7年Q3</t>
    <phoneticPr fontId="27" type="noConversion"/>
  </si>
  <si>
    <t>第7年Q4</t>
    <phoneticPr fontId="27" type="noConversion"/>
  </si>
  <si>
    <t>总计</t>
    <phoneticPr fontId="27" type="noConversion"/>
  </si>
  <si>
    <t>区域</t>
    <phoneticPr fontId="27" type="noConversion"/>
  </si>
  <si>
    <t>户型</t>
    <phoneticPr fontId="27" type="noConversion"/>
  </si>
  <si>
    <t>折旧摊销系数</t>
    <phoneticPr fontId="27" type="noConversion"/>
  </si>
  <si>
    <t>季度</t>
    <phoneticPr fontId="27" type="noConversion"/>
  </si>
  <si>
    <t>财务基本参数指标</t>
    <phoneticPr fontId="27" type="noConversion"/>
  </si>
  <si>
    <t>财务基本结果指标</t>
    <phoneticPr fontId="27" type="noConversion"/>
  </si>
  <si>
    <t>增值税及附加</t>
    <phoneticPr fontId="27" type="noConversion"/>
  </si>
  <si>
    <t>房屋销售增值税税金及附加</t>
    <phoneticPr fontId="27" type="noConversion"/>
  </si>
  <si>
    <t>工程利润率</t>
    <phoneticPr fontId="27" type="noConversion"/>
  </si>
  <si>
    <t>运营养护费用（百万元/年）</t>
    <phoneticPr fontId="27" type="noConversion"/>
  </si>
  <si>
    <t>合计</t>
    <phoneticPr fontId="27" type="noConversion"/>
  </si>
  <si>
    <t>其中：销售收入</t>
    <phoneticPr fontId="27" type="noConversion"/>
  </si>
  <si>
    <t>含税销售收入合计</t>
    <phoneticPr fontId="27" type="noConversion"/>
  </si>
  <si>
    <t>销售收入（缺口承担后）</t>
    <phoneticPr fontId="27" type="noConversion"/>
  </si>
  <si>
    <t>销售收入（含税）</t>
    <phoneticPr fontId="27" type="noConversion"/>
  </si>
  <si>
    <t>销售收入（1）</t>
    <phoneticPr fontId="27" type="noConversion"/>
  </si>
  <si>
    <t>其他收入（4）</t>
    <phoneticPr fontId="27" type="noConversion"/>
  </si>
  <si>
    <t>销售收入（含税）</t>
    <phoneticPr fontId="27" type="noConversion"/>
  </si>
  <si>
    <t>其他收入</t>
    <phoneticPr fontId="27" type="noConversion"/>
  </si>
  <si>
    <t>销售收入</t>
    <phoneticPr fontId="27" type="noConversion"/>
  </si>
  <si>
    <t>收入合计</t>
    <phoneticPr fontId="27" type="noConversion"/>
  </si>
  <si>
    <t>根据现金流量表复星应分配的税后现金流</t>
    <phoneticPr fontId="27" type="noConversion"/>
  </si>
  <si>
    <t xml:space="preserve">    企业所得税</t>
    <phoneticPr fontId="27" type="noConversion"/>
  </si>
  <si>
    <t>编号</t>
  </si>
  <si>
    <t>名称</t>
  </si>
  <si>
    <t>基本假设与结果输出</t>
    <phoneticPr fontId="27" type="noConversion"/>
  </si>
  <si>
    <t>投资计划与资金筹措平衡表</t>
    <phoneticPr fontId="27" type="noConversion"/>
  </si>
  <si>
    <t>项目总投资估算表（汇总）</t>
    <phoneticPr fontId="27" type="noConversion"/>
  </si>
  <si>
    <t>项目总投资估算表（明细）</t>
    <phoneticPr fontId="27" type="noConversion"/>
  </si>
  <si>
    <t>增值税金及附加表</t>
    <phoneticPr fontId="27" type="noConversion"/>
  </si>
  <si>
    <t>运营成本汇总表</t>
    <phoneticPr fontId="27" type="noConversion"/>
  </si>
  <si>
    <t>资产折旧摊销表</t>
    <phoneticPr fontId="27" type="noConversion"/>
  </si>
  <si>
    <t>贷款还本付息表</t>
    <phoneticPr fontId="27" type="noConversion"/>
  </si>
  <si>
    <t>总成本估算表</t>
    <phoneticPr fontId="27" type="noConversion"/>
  </si>
  <si>
    <t>利润表</t>
    <phoneticPr fontId="27" type="noConversion"/>
  </si>
  <si>
    <t>资金来源与应用表</t>
    <phoneticPr fontId="27" type="noConversion"/>
  </si>
  <si>
    <t>财务计划现金流量表</t>
    <phoneticPr fontId="27" type="noConversion"/>
  </si>
  <si>
    <t>项目全投资现金流量表</t>
    <phoneticPr fontId="27" type="noConversion"/>
  </si>
  <si>
    <t>项目资本金现金流量表</t>
    <phoneticPr fontId="27" type="noConversion"/>
  </si>
  <si>
    <t>附表1.1 总投资估算表（明细）</t>
    <phoneticPr fontId="27" type="noConversion"/>
  </si>
  <si>
    <t>点击返回目录</t>
    <phoneticPr fontId="27" type="noConversion"/>
  </si>
  <si>
    <t xml:space="preserve">  销售分析</t>
    <phoneticPr fontId="27" type="noConversion"/>
  </si>
  <si>
    <t xml:space="preserve">  运营成本明细表</t>
    <phoneticPr fontId="27" type="noConversion"/>
  </si>
  <si>
    <t>9.1</t>
    <phoneticPr fontId="27" type="noConversion"/>
  </si>
  <si>
    <t>9.2</t>
  </si>
  <si>
    <t>9.3</t>
  </si>
  <si>
    <t>9.4</t>
  </si>
  <si>
    <t>9.5</t>
  </si>
  <si>
    <t>9.6</t>
  </si>
  <si>
    <t>9.7</t>
  </si>
  <si>
    <t>9.8</t>
  </si>
  <si>
    <t>9.9</t>
  </si>
  <si>
    <t>9.10</t>
  </si>
  <si>
    <t>9.11</t>
  </si>
  <si>
    <t>序号</t>
    <phoneticPr fontId="27" type="noConversion"/>
  </si>
  <si>
    <t>项目</t>
    <phoneticPr fontId="27" type="noConversion"/>
  </si>
  <si>
    <t>土地增值收入</t>
    <phoneticPr fontId="27" type="noConversion"/>
  </si>
  <si>
    <t>年</t>
    <phoneticPr fontId="27" type="noConversion"/>
  </si>
  <si>
    <t>年</t>
    <phoneticPr fontId="27" type="noConversion"/>
  </si>
  <si>
    <t>项目</t>
    <phoneticPr fontId="27" type="noConversion"/>
  </si>
  <si>
    <t>序号</t>
    <phoneticPr fontId="27" type="noConversion"/>
  </si>
  <si>
    <t>合计</t>
    <phoneticPr fontId="27" type="noConversion"/>
  </si>
  <si>
    <t>根据工程进度及工程建设其他费进度及预备费的调整后的投资进度如上</t>
    <phoneticPr fontId="27" type="noConversion"/>
  </si>
  <si>
    <t>项目公司营业收入</t>
    <phoneticPr fontId="27" type="noConversion"/>
  </si>
  <si>
    <t>增值税-销项税额</t>
    <phoneticPr fontId="27" type="noConversion"/>
  </si>
  <si>
    <t>增值税-进项税额</t>
    <phoneticPr fontId="27" type="noConversion"/>
  </si>
  <si>
    <t>预备费</t>
    <phoneticPr fontId="27" type="noConversion"/>
  </si>
  <si>
    <t>当期留抵进项税额</t>
    <phoneticPr fontId="27" type="noConversion"/>
  </si>
  <si>
    <t>前期留抵进项税抵扣当期销项税额</t>
    <phoneticPr fontId="27" type="noConversion"/>
  </si>
  <si>
    <t>剩余留抵进项税额</t>
    <phoneticPr fontId="27" type="noConversion"/>
  </si>
  <si>
    <t>当期缴纳增值税</t>
    <phoneticPr fontId="27" type="noConversion"/>
  </si>
  <si>
    <t>城建税</t>
    <phoneticPr fontId="27" type="noConversion"/>
  </si>
  <si>
    <t>教育附加费</t>
    <phoneticPr fontId="27" type="noConversion"/>
  </si>
  <si>
    <t>项目</t>
    <phoneticPr fontId="27" type="noConversion"/>
  </si>
  <si>
    <t>序号</t>
    <phoneticPr fontId="27" type="noConversion"/>
  </si>
  <si>
    <t>单位：万元</t>
    <phoneticPr fontId="27" type="noConversion"/>
  </si>
  <si>
    <t>五江项目</t>
    <phoneticPr fontId="27" type="noConversion"/>
  </si>
  <si>
    <t xml:space="preserve">成本测算 </t>
  </si>
  <si>
    <t>明细项目</t>
  </si>
  <si>
    <t>计算基数</t>
  </si>
  <si>
    <t>单位成本</t>
  </si>
  <si>
    <t>预算总成本（元）</t>
  </si>
  <si>
    <t>计算依据</t>
  </si>
  <si>
    <t>一、土地费用</t>
  </si>
  <si>
    <t>1+2+3</t>
  </si>
  <si>
    <t xml:space="preserve">  1、土地出让金</t>
  </si>
  <si>
    <t>挂牌起始价52770万</t>
  </si>
  <si>
    <t xml:space="preserve">  2、契税</t>
  </si>
  <si>
    <t>土地出让金的4%</t>
  </si>
  <si>
    <t>请提供明细和税率</t>
  </si>
  <si>
    <t xml:space="preserve">  3、印花税</t>
  </si>
  <si>
    <t>土地出让金的0.05%</t>
  </si>
  <si>
    <t xml:space="preserve">  4、教育配套费</t>
  </si>
  <si>
    <t>二、前期费用</t>
  </si>
  <si>
    <t>4+5</t>
  </si>
  <si>
    <t>请确认</t>
  </si>
  <si>
    <t xml:space="preserve">  4、报批报建</t>
  </si>
  <si>
    <t xml:space="preserve">  5、规划设计</t>
  </si>
  <si>
    <t>参考同行项目</t>
  </si>
  <si>
    <t>三、建安和基础设施配套</t>
  </si>
  <si>
    <t>请提供明细</t>
  </si>
  <si>
    <t>四、管理费用</t>
  </si>
  <si>
    <t>按总销售收入的0.5%测算</t>
  </si>
  <si>
    <t xml:space="preserve">  1、工资</t>
  </si>
  <si>
    <t xml:space="preserve">  2、其他</t>
  </si>
  <si>
    <t>五、财务费用</t>
  </si>
  <si>
    <t xml:space="preserve">  1、信保基金</t>
  </si>
  <si>
    <t>平均用款1.5年</t>
  </si>
  <si>
    <t xml:space="preserve">  2、五江</t>
  </si>
  <si>
    <t>资金成本是否需项目负担？</t>
  </si>
  <si>
    <t xml:space="preserve">  3、中信金资</t>
  </si>
  <si>
    <t xml:space="preserve">  4、其他</t>
  </si>
  <si>
    <t>六、销售费用</t>
  </si>
  <si>
    <t>贝壳代销</t>
  </si>
  <si>
    <t>七、代建费用</t>
  </si>
  <si>
    <t>八、税费</t>
  </si>
  <si>
    <t>按总销售收入的10%测算</t>
  </si>
  <si>
    <t>收益测算</t>
  </si>
  <si>
    <t>元</t>
  </si>
  <si>
    <t>销售收入</t>
  </si>
  <si>
    <t>减：返还村里销售收入（优先）</t>
  </si>
  <si>
    <t>减：项目成本</t>
  </si>
  <si>
    <t>开发经营净收益</t>
  </si>
  <si>
    <t>土地返还款-全额</t>
  </si>
  <si>
    <t>减：返还村里</t>
  </si>
  <si>
    <t>土地返还净收益</t>
  </si>
  <si>
    <t>净收益合计</t>
  </si>
  <si>
    <t>土地出让金</t>
    <phoneticPr fontId="27" type="noConversion"/>
  </si>
  <si>
    <t>契税</t>
    <phoneticPr fontId="27" type="noConversion"/>
  </si>
  <si>
    <t>印花税</t>
    <phoneticPr fontId="27" type="noConversion"/>
  </si>
  <si>
    <t>教育配套费</t>
    <phoneticPr fontId="27" type="noConversion"/>
  </si>
  <si>
    <t>报批报建费</t>
    <phoneticPr fontId="27" type="noConversion"/>
  </si>
  <si>
    <t>规划设计费</t>
    <phoneticPr fontId="27" type="noConversion"/>
  </si>
  <si>
    <t>0.1</t>
    <phoneticPr fontId="27" type="noConversion"/>
  </si>
  <si>
    <t>0.2</t>
    <phoneticPr fontId="27" type="noConversion"/>
  </si>
  <si>
    <t>0.3</t>
    <phoneticPr fontId="27" type="noConversion"/>
  </si>
  <si>
    <t>0.4</t>
    <phoneticPr fontId="27" type="noConversion"/>
  </si>
  <si>
    <t>项目基础数据</t>
  </si>
  <si>
    <t>规划数据</t>
  </si>
  <si>
    <t>数据值</t>
  </si>
  <si>
    <t>备 注</t>
  </si>
  <si>
    <t>总用地面积（m²）</t>
  </si>
  <si>
    <t>约35.1亩</t>
  </si>
  <si>
    <t>总建筑面积（m²）</t>
  </si>
  <si>
    <t>计容建筑面积（m²）</t>
  </si>
  <si>
    <t>其中：住宅（m²）</t>
  </si>
  <si>
    <t>商业（m²）</t>
  </si>
  <si>
    <t>地下建筑面积（m²）</t>
  </si>
  <si>
    <t>其中：车位（个）</t>
  </si>
  <si>
    <t>可售物业</t>
  </si>
  <si>
    <t>数 量</t>
  </si>
  <si>
    <t>车位（个）</t>
  </si>
  <si>
    <t>共796个，返村60个</t>
  </si>
  <si>
    <t>共16178.53平方，返村10000平方</t>
  </si>
  <si>
    <t>住宅（m²）</t>
  </si>
  <si>
    <t xml:space="preserve">收入测算 </t>
  </si>
  <si>
    <t>项 目</t>
  </si>
  <si>
    <t>总物业</t>
  </si>
  <si>
    <t>减返村物业</t>
  </si>
  <si>
    <t>单 价（元/平米）</t>
  </si>
  <si>
    <t>住宅</t>
    <phoneticPr fontId="27" type="noConversion"/>
  </si>
  <si>
    <t>商业</t>
    <phoneticPr fontId="27" type="noConversion"/>
  </si>
  <si>
    <t>车位</t>
    <phoneticPr fontId="27" type="noConversion"/>
  </si>
  <si>
    <t>合计面积（平方米）</t>
    <phoneticPr fontId="27" type="noConversion"/>
  </si>
  <si>
    <t>返还面积平方米）</t>
    <phoneticPr fontId="27" type="noConversion"/>
  </si>
  <si>
    <t>可销售面积平方米）</t>
    <phoneticPr fontId="27" type="noConversion"/>
  </si>
  <si>
    <t>平均尺价（元/平方米）</t>
    <phoneticPr fontId="27" type="noConversion"/>
  </si>
  <si>
    <t>预计货值（万元）</t>
    <phoneticPr fontId="27" type="noConversion"/>
  </si>
  <si>
    <t>1</t>
    <phoneticPr fontId="27" type="noConversion"/>
  </si>
  <si>
    <t>合计（万元）</t>
    <phoneticPr fontId="27" type="noConversion"/>
  </si>
  <si>
    <t>土地款返还收入</t>
    <phoneticPr fontId="27" type="noConversion"/>
  </si>
  <si>
    <t>万元</t>
    <phoneticPr fontId="27" type="noConversion"/>
  </si>
  <si>
    <t>元</t>
    <phoneticPr fontId="27" type="noConversion"/>
  </si>
  <si>
    <t>土增税</t>
    <phoneticPr fontId="27" type="noConversion"/>
  </si>
  <si>
    <t>销售百分比</t>
    <phoneticPr fontId="27" type="noConversion"/>
  </si>
  <si>
    <t>土地款返还收入（不含税）</t>
    <phoneticPr fontId="27" type="noConversion"/>
  </si>
  <si>
    <t>销售收入（不含税）</t>
    <phoneticPr fontId="27" type="noConversion"/>
  </si>
  <si>
    <t>营业收入合计（不含税）</t>
    <phoneticPr fontId="27" type="noConversion"/>
  </si>
  <si>
    <t>扣除金额（成本-不含税）</t>
    <phoneticPr fontId="27" type="noConversion"/>
  </si>
  <si>
    <t>土地成本</t>
    <phoneticPr fontId="27" type="noConversion"/>
  </si>
  <si>
    <t>工程成本</t>
    <phoneticPr fontId="27" type="noConversion"/>
  </si>
  <si>
    <t>税金附加</t>
    <phoneticPr fontId="27" type="noConversion"/>
  </si>
  <si>
    <t>加计扣除</t>
    <phoneticPr fontId="27" type="noConversion"/>
  </si>
  <si>
    <t>增值税附加</t>
    <phoneticPr fontId="27" type="noConversion"/>
  </si>
  <si>
    <t>销售费用</t>
    <phoneticPr fontId="27" type="noConversion"/>
  </si>
  <si>
    <t>代建费用</t>
    <phoneticPr fontId="27" type="noConversion"/>
  </si>
  <si>
    <t>其他费用支出</t>
    <phoneticPr fontId="27" type="noConversion"/>
  </si>
  <si>
    <t>土地出让金返还收入</t>
    <phoneticPr fontId="27" type="noConversion"/>
  </si>
  <si>
    <t>含税销售收入</t>
    <phoneticPr fontId="27" type="noConversion"/>
  </si>
  <si>
    <t>开发费用(销售管理、财务费用）</t>
    <phoneticPr fontId="27" type="noConversion"/>
  </si>
  <si>
    <t>增值系数</t>
    <phoneticPr fontId="27" type="noConversion"/>
  </si>
  <si>
    <t>增值额</t>
    <phoneticPr fontId="27" type="noConversion"/>
  </si>
  <si>
    <t>税金及附加</t>
    <phoneticPr fontId="27" type="noConversion"/>
  </si>
  <si>
    <t>不含税</t>
    <phoneticPr fontId="27" type="noConversion"/>
  </si>
  <si>
    <t>3</t>
    <phoneticPr fontId="27" type="noConversion"/>
  </si>
  <si>
    <t>3.1</t>
    <phoneticPr fontId="27" type="noConversion"/>
  </si>
  <si>
    <t>3.1.1</t>
    <phoneticPr fontId="27" type="noConversion"/>
  </si>
  <si>
    <t>3.1.2</t>
    <phoneticPr fontId="27" type="noConversion"/>
  </si>
  <si>
    <t>初始投资小计（当期固定资产）</t>
    <phoneticPr fontId="27" type="noConversion"/>
  </si>
  <si>
    <t>第3年Q31</t>
    <phoneticPr fontId="27" type="noConversion"/>
  </si>
  <si>
    <t>附表8.1 总成本估算表（含税）(单位：万元)</t>
    <phoneticPr fontId="27" type="noConversion"/>
  </si>
  <si>
    <t>附表8.2 总成本估算表（不含税）(单位：万元)</t>
    <phoneticPr fontId="27" type="noConversion"/>
  </si>
  <si>
    <t>附表7银行贷款还本付息表 (单位：万元)</t>
    <phoneticPr fontId="27" type="noConversion"/>
  </si>
  <si>
    <t>附表2 投资计划与资金筹措平衡表  (单位：万元)</t>
    <phoneticPr fontId="27" type="noConversion"/>
  </si>
  <si>
    <t>建设期</t>
    <phoneticPr fontId="27" type="noConversion"/>
  </si>
  <si>
    <r>
      <t xml:space="preserve">附表1 项目总投资估算表 </t>
    </r>
    <r>
      <rPr>
        <b/>
        <sz val="16"/>
        <rFont val="宋体"/>
        <family val="3"/>
        <charset val="134"/>
        <scheme val="major"/>
      </rPr>
      <t>(单位：万元)</t>
    </r>
    <phoneticPr fontId="27" type="noConversion"/>
  </si>
  <si>
    <t>总投资估算表(单位：万元)</t>
    <phoneticPr fontId="27" type="noConversion"/>
  </si>
  <si>
    <t>附表4 营业收入明细表 (单位：万元)</t>
    <phoneticPr fontId="27" type="noConversion"/>
  </si>
  <si>
    <t>附表3.1 销售收入-汇总（万元）</t>
    <phoneticPr fontId="27" type="noConversion"/>
  </si>
  <si>
    <t>附表3.2 增值税及附加测算（万元）</t>
    <phoneticPr fontId="27" type="noConversion"/>
  </si>
  <si>
    <t>附表3.3 土增税（万元）</t>
    <phoneticPr fontId="27" type="noConversion"/>
  </si>
  <si>
    <t>附表3.4 可售部分概况（万元）</t>
    <phoneticPr fontId="27" type="noConversion"/>
  </si>
  <si>
    <t>附表3.5 销售进度百分比(单位：万元)</t>
    <phoneticPr fontId="27" type="noConversion"/>
  </si>
  <si>
    <t>附表4 税金及附加 (单位：万元)</t>
    <phoneticPr fontId="27" type="noConversion"/>
  </si>
  <si>
    <t>附表5 运营成本费用汇总表 (单位：万元)</t>
    <phoneticPr fontId="27" type="noConversion"/>
  </si>
  <si>
    <t>附表5.1 运营成本测算表（万元）</t>
    <phoneticPr fontId="27" type="noConversion"/>
  </si>
  <si>
    <t>附表6 资产折旧与摊销表 (单位：万元)</t>
    <phoneticPr fontId="27" type="noConversion"/>
  </si>
  <si>
    <t>附表9.1 利润表 (单位：万元)</t>
    <phoneticPr fontId="27" type="noConversion"/>
  </si>
  <si>
    <t>附表9.2 利润表（融资前）(单位：万元)</t>
    <phoneticPr fontId="27" type="noConversion"/>
  </si>
  <si>
    <t>附表10 资金来源与运用表 (单位：万元)</t>
    <phoneticPr fontId="27" type="noConversion"/>
  </si>
  <si>
    <t>附表11 财务计划现金流量表 (单位：万元)</t>
    <phoneticPr fontId="27" type="noConversion"/>
  </si>
  <si>
    <t>附表12 项目全投资现金流量表(单位：万元)</t>
    <phoneticPr fontId="27" type="noConversion"/>
  </si>
  <si>
    <t>附表13 项目自有资金现金流量表 (单位：万元)</t>
    <phoneticPr fontId="27" type="noConversion"/>
  </si>
  <si>
    <t>附表14 中信建设层面现金流量表(含总包管理费，不计提折旧，(单位：万元)）</t>
    <phoneticPr fontId="27" type="noConversion"/>
  </si>
  <si>
    <t>劣后利润分配</t>
    <phoneticPr fontId="27" type="noConversion"/>
  </si>
  <si>
    <t>补偿优先级</t>
    <phoneticPr fontId="27" type="noConversion"/>
  </si>
  <si>
    <t>其中：中信建设-优先级</t>
    <phoneticPr fontId="27" type="noConversion"/>
  </si>
  <si>
    <t>优先级利率</t>
    <phoneticPr fontId="27" type="noConversion"/>
  </si>
  <si>
    <t>贷款本息</t>
    <phoneticPr fontId="27" type="noConversion"/>
  </si>
  <si>
    <t>贷款本金</t>
    <phoneticPr fontId="27" type="noConversion"/>
  </si>
  <si>
    <t>优先级收益</t>
    <phoneticPr fontId="27" type="noConversion"/>
  </si>
  <si>
    <t>营业收入汇总表</t>
    <phoneticPr fontId="27" type="noConversion"/>
  </si>
  <si>
    <t>劣后方投资回报</t>
    <phoneticPr fontId="27" type="noConversion"/>
  </si>
  <si>
    <t>自有资金内部收益率</t>
    <phoneticPr fontId="27" type="noConversion"/>
  </si>
  <si>
    <t>投资回收期</t>
    <phoneticPr fontId="27" type="noConversion"/>
  </si>
  <si>
    <t>出资现值（按基准收益率）</t>
    <phoneticPr fontId="27" type="noConversion"/>
  </si>
  <si>
    <t>资本金剩余</t>
    <phoneticPr fontId="27" type="noConversion"/>
  </si>
  <si>
    <t>减资额</t>
    <phoneticPr fontId="27" type="noConversion"/>
  </si>
  <si>
    <t>住宅累积</t>
    <phoneticPr fontId="27" type="noConversion"/>
  </si>
  <si>
    <t>实际收到销售款比例</t>
    <phoneticPr fontId="27" type="noConversion"/>
  </si>
  <si>
    <t>附表3.6 实际收到销售款比例</t>
    <phoneticPr fontId="27" type="noConversion"/>
  </si>
  <si>
    <t>附表3.7 实际销售额(单位：万元)</t>
    <phoneticPr fontId="27" type="noConversion"/>
  </si>
  <si>
    <t>住宅建设成本</t>
    <phoneticPr fontId="27" type="noConversion"/>
  </si>
  <si>
    <t>商业建设成本</t>
    <phoneticPr fontId="27" type="noConversion"/>
  </si>
  <si>
    <r>
      <rPr>
        <b/>
        <sz val="9"/>
        <rFont val="微软雅黑"/>
        <family val="2"/>
        <charset val="134"/>
      </rPr>
      <t>售价</t>
    </r>
    <r>
      <rPr>
        <b/>
        <sz val="9"/>
        <rFont val="Arial Narrow"/>
        <family val="2"/>
      </rPr>
      <t>-</t>
    </r>
    <r>
      <rPr>
        <b/>
        <sz val="9"/>
        <rFont val="宋体"/>
        <family val="2"/>
        <charset val="134"/>
      </rPr>
      <t>成本</t>
    </r>
    <phoneticPr fontId="27" type="noConversion"/>
  </si>
  <si>
    <t>车位建设成本</t>
    <phoneticPr fontId="27" type="noConversion"/>
  </si>
  <si>
    <t>元/个</t>
    <phoneticPr fontId="27" type="noConversion"/>
  </si>
  <si>
    <t>补偿村集体</t>
    <phoneticPr fontId="27" type="noConversion"/>
  </si>
  <si>
    <t>补偿村集体-土地款</t>
    <phoneticPr fontId="27" type="noConversion"/>
  </si>
  <si>
    <t>附表4 营业收入汇总表(单位：万元)</t>
    <phoneticPr fontId="27" type="noConversion"/>
  </si>
  <si>
    <t>中信建设现金流量表（优先级）</t>
    <phoneticPr fontId="27" type="noConversion"/>
  </si>
  <si>
    <t>附表15 中信金资现金流量表(中间级）(单位：万元)</t>
    <phoneticPr fontId="27" type="noConversion"/>
  </si>
  <si>
    <t>其中：五江方-劣后级</t>
    <phoneticPr fontId="27" type="noConversion"/>
  </si>
  <si>
    <t>其中：中信金资-中间级</t>
    <phoneticPr fontId="27" type="noConversion"/>
  </si>
  <si>
    <t>中信金资现金流量表（中间级）</t>
    <phoneticPr fontId="27" type="noConversion"/>
  </si>
  <si>
    <t>附表16 五江现金流量表(劣后级）(单位：万元)</t>
    <phoneticPr fontId="27" type="noConversion"/>
  </si>
  <si>
    <t>五江现金流量表（劣后级）</t>
    <phoneticPr fontId="27" type="noConversion"/>
  </si>
  <si>
    <t>折旧摊销参考</t>
    <phoneticPr fontId="27" type="noConversion"/>
  </si>
  <si>
    <t>折旧摊销调整系数</t>
    <phoneticPr fontId="27" type="noConversion"/>
  </si>
  <si>
    <t>每年贷款资金成本</t>
    <phoneticPr fontId="27" type="noConversion"/>
  </si>
  <si>
    <t>每年优先级资金成本</t>
    <phoneticPr fontId="27" type="noConversion"/>
  </si>
  <si>
    <t>每年运营成本</t>
    <phoneticPr fontId="27" type="noConversion"/>
  </si>
  <si>
    <t>亏劣后可供亏空的金额</t>
    <phoneticPr fontId="27" type="noConversion"/>
  </si>
  <si>
    <t>五年末劣后级亏空的金额</t>
    <phoneticPr fontId="27" type="noConversion"/>
  </si>
  <si>
    <t>项目每年固定资金支出</t>
    <phoneticPr fontId="27" type="noConversion"/>
  </si>
  <si>
    <t>5年内劣后级全亏空可供亏空的金额</t>
    <phoneticPr fontId="27" type="noConversion"/>
  </si>
  <si>
    <t>剩余可亏空的金额的年数</t>
    <phoneticPr fontId="27" type="noConversion"/>
  </si>
  <si>
    <t>附表16.1 亏掉劣后级项目最长去化周期计算（返还4.2亿，劣后级实收3.2亿）</t>
    <phoneticPr fontId="27" type="noConversion"/>
  </si>
  <si>
    <t>附表16.2 不亏劣后级项目最长去化周期计算（返还4.2亿，劣后级实收3.2亿）</t>
    <phoneticPr fontId="27" type="noConversion"/>
  </si>
  <si>
    <t>附表16.3 亏掉劣后级项目最长去化周期计算（返还2.1亿，劣后级实收1.1亿）</t>
    <phoneticPr fontId="27" type="noConversion"/>
  </si>
  <si>
    <t>附表16.4 不亏劣后级项目最长去化周期计算（返还2.1亿，劣后级实收1.1亿）</t>
    <phoneticPr fontId="27" type="noConversion"/>
  </si>
  <si>
    <t>项目自平衡年数</t>
    <phoneticPr fontId="27" type="noConversion"/>
  </si>
  <si>
    <t>长沙五江项目-测算分析</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</si>
</sst>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0">
    <numFmt numFmtId="8" formatCode="&quot;¥&quot;#,##0.00;[Red]&quot;¥&quot;\-#,##0.00"/>
    <numFmt numFmtId="43" formatCode="_ * #,##0.00_ ;_ * \-#,##0.00_ ;_ * &quot;-&quot;??_ ;_ @_ "/>
    <numFmt numFmtId="176" formatCode="_ * #,##0.00_ ;_ * \-#,##0.00_ ;_ * &quot;-&quot;????_ ;_ @_ "/>
    <numFmt numFmtId="177" formatCode="#,##0_ "/>
    <numFmt numFmtId="178" formatCode="0.00_);[Red]\(0.00\)"/>
    <numFmt numFmtId="179" formatCode="_(* #,##0.00_);_(* \(#,##0.00\);_(* &quot;-&quot;??_);_(@_)"/>
    <numFmt numFmtId="180" formatCode="_ \¥* #,##0.00_ ;_ \¥* \-#,##0.00_ ;_ \¥* &quot;-&quot;??_ ;_ @_ "/>
    <numFmt numFmtId="181" formatCode="0.00_ "/>
    <numFmt numFmtId="182" formatCode="yyyy&quot;年&quot;m&quot;月&quot;d&quot;日&quot;;@"/>
    <numFmt numFmtId="183" formatCode="_ * #,##0.0000_ ;_ * \-#,##0.0000_ ;_ * &quot;-&quot;????_ ;_ @_ "/>
    <numFmt numFmtId="184" formatCode="#,##0.00_ "/>
    <numFmt numFmtId="185" formatCode="_ * #,##0_ ;_ * \-#,##0_ ;_ * &quot;-&quot;??_ ;_ @_ "/>
    <numFmt numFmtId="186" formatCode="0_);[Red]\(0\)"/>
    <numFmt numFmtId="187" formatCode="#,##0_ ;[Red]\-#,##0\ "/>
    <numFmt numFmtId="188" formatCode="#,##0.0_ ;[Red]\-#,##0.0\ "/>
    <numFmt numFmtId="189" formatCode="#,##0.00_ ;[Red]\-#,##0.00\ "/>
    <numFmt numFmtId="190" formatCode="0.000%"/>
    <numFmt numFmtId="191" formatCode="_ * #,##0_ ;_ * \-#,##0_ ;_ * &quot;-&quot;????_ ;_ @_ "/>
    <numFmt numFmtId="192" formatCode="#,##0_);\(#,##0\)"/>
    <numFmt numFmtId="193" formatCode="_([$€-2]* #,##0.00_);_([$€-2]* \(#,##0.00\);_([$€-2]* &quot;-&quot;??_)"/>
    <numFmt numFmtId="194" formatCode="#,##0.0_);\(#,##0.0\)"/>
    <numFmt numFmtId="195" formatCode="#,##0.00_);\(#,##0.00\)"/>
    <numFmt numFmtId="196" formatCode="0.0_);[Red]\(0.0\)"/>
    <numFmt numFmtId="197" formatCode="0.0000%"/>
    <numFmt numFmtId="198" formatCode="_ * #,##0.0_ ;_ * \-#,##0.0_ ;_ * &quot;-&quot;??_ ;_ @_ "/>
    <numFmt numFmtId="199" formatCode="0_ "/>
    <numFmt numFmtId="200" formatCode="0_);\(0\)"/>
    <numFmt numFmtId="201" formatCode="0.0_);\(0.0\)"/>
    <numFmt numFmtId="202" formatCode="#,##0.00_);[Red]\(#,##0.00\)"/>
    <numFmt numFmtId="203" formatCode="0.0%"/>
  </numFmts>
  <fonts count="125">
    <font>
      <sz val="11"/>
      <color theme="1"/>
      <name val="宋体"/>
      <charset val="134"/>
      <scheme val="minor"/>
    </font>
    <font>
      <sz val="9"/>
      <color theme="1"/>
      <name val="宋体"/>
      <family val="3"/>
      <charset val="134"/>
      <scheme val="minor"/>
    </font>
    <font>
      <sz val="18"/>
      <color theme="1"/>
      <name val="黑体"/>
      <family val="3"/>
      <charset val="134"/>
    </font>
    <font>
      <sz val="9"/>
      <color theme="1"/>
      <name val="宋体"/>
      <family val="3"/>
      <charset val="134"/>
    </font>
    <font>
      <b/>
      <sz val="9"/>
      <color theme="1"/>
      <name val="宋体"/>
      <family val="3"/>
      <charset val="134"/>
    </font>
    <font>
      <sz val="9"/>
      <color theme="1"/>
      <name val="微软雅黑"/>
      <family val="2"/>
      <charset val="134"/>
    </font>
    <font>
      <b/>
      <sz val="9"/>
      <color theme="1"/>
      <name val="Arial Narrow"/>
      <family val="2"/>
    </font>
    <font>
      <sz val="9"/>
      <color theme="1"/>
      <name val="Arial Narrow"/>
      <family val="2"/>
    </font>
    <font>
      <sz val="9"/>
      <name val="Arial Narrow"/>
      <family val="2"/>
    </font>
    <font>
      <sz val="18"/>
      <name val="黑体"/>
      <family val="3"/>
      <charset val="134"/>
    </font>
    <font>
      <sz val="9"/>
      <name val="宋体"/>
      <family val="3"/>
      <charset val="134"/>
    </font>
    <font>
      <b/>
      <sz val="9"/>
      <name val="Arial Narrow"/>
      <family val="2"/>
    </font>
    <font>
      <b/>
      <sz val="9"/>
      <name val="宋体"/>
      <family val="3"/>
      <charset val="134"/>
    </font>
    <font>
      <sz val="9"/>
      <name val="黑体"/>
      <family val="3"/>
      <charset val="134"/>
    </font>
    <font>
      <sz val="9"/>
      <color theme="1"/>
      <name val="黑体"/>
      <family val="3"/>
      <charset val="134"/>
    </font>
    <font>
      <sz val="11"/>
      <color rgb="FFFF0000"/>
      <name val="宋体"/>
      <family val="3"/>
      <charset val="134"/>
      <scheme val="minor"/>
    </font>
    <font>
      <sz val="18"/>
      <color theme="1"/>
      <name val="微软雅黑"/>
      <family val="2"/>
      <charset val="134"/>
    </font>
    <font>
      <sz val="14"/>
      <color theme="1"/>
      <name val="黑体"/>
      <family val="3"/>
      <charset val="134"/>
    </font>
    <font>
      <b/>
      <sz val="18"/>
      <name val="黑体"/>
      <family val="3"/>
      <charset val="134"/>
    </font>
    <font>
      <sz val="11"/>
      <name val="宋体"/>
      <family val="3"/>
      <charset val="134"/>
      <scheme val="minor"/>
    </font>
    <font>
      <sz val="14"/>
      <name val="黑体"/>
      <family val="3"/>
      <charset val="134"/>
    </font>
    <font>
      <sz val="9"/>
      <name val="微软雅黑"/>
      <family val="2"/>
      <charset val="134"/>
    </font>
    <font>
      <b/>
      <sz val="9"/>
      <color theme="1"/>
      <name val="微软雅黑"/>
      <family val="2"/>
      <charset val="134"/>
    </font>
    <font>
      <b/>
      <sz val="10"/>
      <name val="宋体"/>
      <family val="3"/>
      <charset val="134"/>
    </font>
    <font>
      <b/>
      <sz val="10"/>
      <name val="Arial Narrow"/>
      <family val="2"/>
    </font>
    <font>
      <sz val="10"/>
      <name val="宋体"/>
      <family val="3"/>
      <charset val="134"/>
      <scheme val="minor"/>
    </font>
    <font>
      <sz val="10"/>
      <name val="宋体"/>
      <family val="3"/>
      <charset val="134"/>
    </font>
    <font>
      <sz val="9"/>
      <name val="宋体"/>
      <family val="3"/>
      <charset val="134"/>
      <scheme val="minor"/>
    </font>
    <font>
      <sz val="18"/>
      <name val="微软雅黑"/>
      <family val="2"/>
      <charset val="134"/>
    </font>
    <font>
      <b/>
      <sz val="9"/>
      <color rgb="FF000000"/>
      <name val="宋体"/>
      <family val="3"/>
      <charset val="134"/>
    </font>
    <font>
      <sz val="9"/>
      <color rgb="FF000000"/>
      <name val="宋体"/>
      <family val="3"/>
      <charset val="134"/>
    </font>
    <font>
      <sz val="9"/>
      <color rgb="FF000000"/>
      <name val="仿宋"/>
      <family val="3"/>
      <charset val="134"/>
    </font>
    <font>
      <sz val="18"/>
      <name val="宋体"/>
      <family val="3"/>
      <charset val="134"/>
      <scheme val="minor"/>
    </font>
    <font>
      <sz val="9"/>
      <name val="宋体"/>
      <family val="3"/>
      <charset val="134"/>
      <scheme val="minor"/>
    </font>
    <font>
      <sz val="10"/>
      <name val="宋体"/>
      <family val="3"/>
      <charset val="134"/>
      <scheme val="minor"/>
    </font>
    <font>
      <sz val="18"/>
      <name val="黑体"/>
      <family val="3"/>
      <charset val="134"/>
    </font>
    <font>
      <sz val="9"/>
      <name val="宋体"/>
      <family val="3"/>
      <charset val="134"/>
    </font>
    <font>
      <b/>
      <sz val="9"/>
      <name val="宋体"/>
      <family val="3"/>
      <charset val="134"/>
    </font>
    <font>
      <b/>
      <sz val="9"/>
      <name val="微软雅黑"/>
      <family val="2"/>
      <charset val="134"/>
    </font>
    <font>
      <b/>
      <sz val="11"/>
      <color theme="1"/>
      <name val="宋体"/>
      <family val="3"/>
      <charset val="134"/>
      <scheme val="minor"/>
    </font>
    <font>
      <sz val="11"/>
      <color theme="1"/>
      <name val="宋体"/>
      <family val="3"/>
      <charset val="134"/>
      <scheme val="minor"/>
    </font>
    <font>
      <sz val="14"/>
      <color theme="1"/>
      <name val="微软雅黑"/>
      <family val="2"/>
      <charset val="134"/>
    </font>
    <font>
      <sz val="16"/>
      <color theme="1"/>
      <name val="Arial Narrow"/>
      <family val="2"/>
    </font>
    <font>
      <sz val="11"/>
      <color theme="1"/>
      <name val="Arial Narrow"/>
      <family val="2"/>
    </font>
    <font>
      <sz val="18"/>
      <name val="宋体"/>
      <family val="3"/>
      <charset val="134"/>
      <scheme val="minor"/>
    </font>
    <font>
      <b/>
      <sz val="9"/>
      <name val="宋体"/>
      <family val="3"/>
      <charset val="134"/>
      <scheme val="minor"/>
    </font>
    <font>
      <b/>
      <sz val="9"/>
      <color theme="1"/>
      <name val="宋体"/>
      <family val="3"/>
      <charset val="134"/>
      <scheme val="minor"/>
    </font>
    <font>
      <sz val="10"/>
      <name val="微软雅黑"/>
      <family val="2"/>
      <charset val="134"/>
    </font>
    <font>
      <b/>
      <sz val="18"/>
      <name val="宋体"/>
      <family val="3"/>
      <charset val="134"/>
    </font>
    <font>
      <b/>
      <sz val="10"/>
      <color theme="1"/>
      <name val="KaiTi"/>
      <family val="1"/>
    </font>
    <font>
      <b/>
      <sz val="10"/>
      <color theme="1"/>
      <name val="宋体"/>
      <family val="3"/>
      <charset val="134"/>
    </font>
    <font>
      <b/>
      <sz val="9"/>
      <name val="黑体"/>
      <family val="3"/>
      <charset val="134"/>
    </font>
    <font>
      <b/>
      <sz val="11"/>
      <name val="宋体"/>
      <family val="3"/>
      <charset val="134"/>
      <scheme val="minor"/>
    </font>
    <font>
      <b/>
      <sz val="9"/>
      <name val="Arial"/>
      <family val="2"/>
    </font>
    <font>
      <sz val="9"/>
      <name val="Arial"/>
      <family val="2"/>
    </font>
    <font>
      <b/>
      <sz val="9"/>
      <name val="Arial Narrow Bold"/>
      <family val="2"/>
    </font>
    <font>
      <sz val="9"/>
      <color rgb="FFFF0000"/>
      <name val="Arial Narrow"/>
      <family val="2"/>
    </font>
    <font>
      <sz val="9"/>
      <name val="华文宋体"/>
      <family val="3"/>
      <charset val="134"/>
    </font>
    <font>
      <sz val="72"/>
      <color theme="0"/>
      <name val="Microsoft YaHei UI"/>
      <family val="2"/>
      <charset val="134"/>
    </font>
    <font>
      <sz val="11"/>
      <color theme="1"/>
      <name val="Microsoft YaHei UI"/>
      <family val="2"/>
      <charset val="134"/>
    </font>
    <font>
      <sz val="12"/>
      <name val="宋体"/>
      <family val="3"/>
      <charset val="134"/>
    </font>
    <font>
      <sz val="11"/>
      <color indexed="8"/>
      <name val="宋体"/>
      <family val="3"/>
      <charset val="134"/>
    </font>
    <font>
      <sz val="11"/>
      <color theme="0"/>
      <name val="Microsoft YaHei UI"/>
      <family val="2"/>
      <charset val="134"/>
    </font>
    <font>
      <sz val="17"/>
      <color theme="0"/>
      <name val="Microsoft YaHei UI"/>
      <family val="2"/>
      <charset val="134"/>
    </font>
    <font>
      <sz val="11"/>
      <color rgb="FF0B744D"/>
      <name val="Microsoft YaHei UI"/>
      <family val="2"/>
      <charset val="134"/>
    </font>
    <font>
      <b/>
      <sz val="11"/>
      <color theme="1"/>
      <name val="Microsoft YaHei UI"/>
      <family val="2"/>
      <charset val="134"/>
    </font>
    <font>
      <sz val="12"/>
      <color theme="1"/>
      <name val="微软雅黑"/>
      <family val="2"/>
      <charset val="134"/>
    </font>
    <font>
      <u/>
      <sz val="11"/>
      <color rgb="FF0000FF"/>
      <name val="宋体"/>
      <family val="3"/>
      <charset val="134"/>
      <scheme val="minor"/>
    </font>
    <font>
      <sz val="11"/>
      <color theme="0"/>
      <name val="宋体"/>
      <family val="3"/>
      <charset val="134"/>
      <scheme val="minor"/>
    </font>
    <font>
      <b/>
      <sz val="10"/>
      <color theme="1"/>
      <name val="Arial"/>
      <family val="2"/>
    </font>
    <font>
      <sz val="10"/>
      <color rgb="FF000000"/>
      <name val="Arial"/>
      <family val="2"/>
    </font>
    <font>
      <sz val="10"/>
      <color theme="1"/>
      <name val="宋体"/>
      <family val="3"/>
      <charset val="134"/>
    </font>
    <font>
      <b/>
      <sz val="11"/>
      <color theme="1"/>
      <name val="Arial"/>
      <family val="2"/>
    </font>
    <font>
      <sz val="10"/>
      <color theme="1"/>
      <name val="Arial"/>
      <family val="2"/>
    </font>
    <font>
      <sz val="11"/>
      <color theme="1"/>
      <name val="Arial"/>
      <family val="2"/>
    </font>
    <font>
      <b/>
      <sz val="10"/>
      <color rgb="FF000000"/>
      <name val="Arial"/>
      <family val="2"/>
    </font>
    <font>
      <b/>
      <sz val="11"/>
      <name val="微软雅黑"/>
      <family val="2"/>
      <charset val="134"/>
    </font>
    <font>
      <sz val="9"/>
      <name val="方正书宋_GBK"/>
      <charset val="134"/>
    </font>
    <font>
      <sz val="9"/>
      <color rgb="FFFF0000"/>
      <name val="宋体"/>
      <family val="3"/>
      <charset val="134"/>
    </font>
    <font>
      <sz val="10"/>
      <color theme="1"/>
      <name val="微软雅黑 Light"/>
      <family val="2"/>
      <charset val="134"/>
    </font>
    <font>
      <b/>
      <sz val="10"/>
      <color theme="1"/>
      <name val="微软雅黑 Light"/>
      <family val="2"/>
      <charset val="134"/>
    </font>
    <font>
      <b/>
      <sz val="9"/>
      <color indexed="81"/>
      <name val="宋体"/>
      <family val="3"/>
      <charset val="134"/>
    </font>
    <font>
      <sz val="9"/>
      <color indexed="81"/>
      <name val="宋体"/>
      <family val="3"/>
      <charset val="134"/>
    </font>
    <font>
      <sz val="9"/>
      <name val="宋体"/>
      <family val="2"/>
      <charset val="134"/>
    </font>
    <font>
      <sz val="11"/>
      <color theme="1"/>
      <name val="宋体"/>
      <family val="2"/>
      <charset val="134"/>
    </font>
    <font>
      <u/>
      <sz val="11"/>
      <color theme="10"/>
      <name val="宋体"/>
      <family val="3"/>
      <charset val="134"/>
      <scheme val="minor"/>
    </font>
    <font>
      <b/>
      <sz val="16"/>
      <color rgb="FFFF0000"/>
      <name val="微软雅黑"/>
      <family val="2"/>
      <charset val="134"/>
    </font>
    <font>
      <b/>
      <u/>
      <sz val="14"/>
      <color rgb="FFFF0000"/>
      <name val="宋体"/>
      <family val="3"/>
      <charset val="134"/>
      <scheme val="minor"/>
    </font>
    <font>
      <sz val="9"/>
      <color rgb="FF000000"/>
      <name val="宋体"/>
      <family val="3"/>
      <charset val="134"/>
      <scheme val="minor"/>
    </font>
    <font>
      <b/>
      <u/>
      <sz val="12"/>
      <color rgb="FFFF0000"/>
      <name val="宋体"/>
      <family val="3"/>
      <charset val="134"/>
      <scheme val="minor"/>
    </font>
    <font>
      <b/>
      <sz val="12"/>
      <color rgb="FFFF0000"/>
      <name val="宋体"/>
      <family val="3"/>
      <charset val="134"/>
      <scheme val="minor"/>
    </font>
    <font>
      <sz val="12"/>
      <color rgb="FFFF0000"/>
      <name val="宋体"/>
      <family val="3"/>
      <charset val="134"/>
      <scheme val="minor"/>
    </font>
    <font>
      <sz val="12"/>
      <color theme="1"/>
      <name val="宋体"/>
      <family val="3"/>
      <charset val="134"/>
      <scheme val="minor"/>
    </font>
    <font>
      <sz val="12"/>
      <name val="微软雅黑"/>
      <family val="2"/>
      <charset val="134"/>
    </font>
    <font>
      <b/>
      <sz val="10"/>
      <color rgb="FF00B0F0"/>
      <name val="仿宋"/>
      <family val="3"/>
      <charset val="134"/>
    </font>
    <font>
      <b/>
      <u/>
      <sz val="10"/>
      <color rgb="FF00B0F0"/>
      <name val="宋体"/>
      <family val="3"/>
      <charset val="134"/>
      <scheme val="minor"/>
    </font>
    <font>
      <b/>
      <sz val="18"/>
      <color theme="1"/>
      <name val="宋体"/>
      <family val="3"/>
      <charset val="134"/>
      <scheme val="major"/>
    </font>
    <font>
      <b/>
      <sz val="18"/>
      <name val="宋体"/>
      <family val="3"/>
      <charset val="134"/>
      <scheme val="major"/>
    </font>
    <font>
      <b/>
      <sz val="16"/>
      <name val="宋体"/>
      <family val="3"/>
      <charset val="134"/>
      <scheme val="major"/>
    </font>
    <font>
      <b/>
      <sz val="10"/>
      <color rgb="FF00B0F0"/>
      <name val="微软雅黑"/>
      <family val="2"/>
      <charset val="134"/>
    </font>
    <font>
      <b/>
      <sz val="16"/>
      <name val="楷体"/>
      <family val="3"/>
      <charset val="134"/>
    </font>
    <font>
      <sz val="16"/>
      <name val="楷体"/>
      <family val="3"/>
      <charset val="134"/>
    </font>
    <font>
      <sz val="11"/>
      <name val="楷体"/>
      <family val="3"/>
      <charset val="134"/>
    </font>
    <font>
      <b/>
      <sz val="10"/>
      <name val="宋体"/>
      <family val="3"/>
      <charset val="134"/>
      <scheme val="minor"/>
    </font>
    <font>
      <b/>
      <sz val="18"/>
      <color theme="1"/>
      <name val="微软雅黑"/>
      <family val="2"/>
      <charset val="134"/>
    </font>
    <font>
      <b/>
      <sz val="9"/>
      <name val="宋体"/>
      <family val="2"/>
      <charset val="134"/>
    </font>
    <font>
      <sz val="11"/>
      <color theme="1"/>
      <name val="Times New Roman"/>
      <family val="1"/>
    </font>
    <font>
      <sz val="9"/>
      <color theme="1"/>
      <name val="宋体"/>
      <family val="3"/>
      <charset val="134"/>
      <scheme val="major"/>
    </font>
    <font>
      <b/>
      <sz val="12"/>
      <color rgb="FF000000"/>
      <name val="宋体"/>
      <family val="3"/>
      <charset val="134"/>
      <scheme val="minor"/>
    </font>
    <font>
      <sz val="12"/>
      <color rgb="FF000000"/>
      <name val="宋体"/>
      <family val="3"/>
      <charset val="134"/>
      <scheme val="minor"/>
    </font>
    <font>
      <b/>
      <sz val="12"/>
      <color theme="1"/>
      <name val="宋体"/>
      <family val="3"/>
      <charset val="134"/>
      <scheme val="minor"/>
    </font>
    <font>
      <b/>
      <sz val="10"/>
      <color theme="1"/>
      <name val="宋体"/>
      <family val="2"/>
      <charset val="134"/>
    </font>
    <font>
      <sz val="10"/>
      <name val="黑体"/>
      <family val="3"/>
      <charset val="134"/>
    </font>
    <font>
      <sz val="10"/>
      <color theme="1"/>
      <name val="黑体"/>
      <family val="3"/>
      <charset val="134"/>
    </font>
    <font>
      <b/>
      <sz val="9"/>
      <name val="Arial Narrow"/>
      <family val="2"/>
      <charset val="134"/>
    </font>
    <font>
      <sz val="11"/>
      <color theme="1"/>
      <name val="黑体"/>
      <family val="3"/>
      <charset val="134"/>
    </font>
    <font>
      <sz val="10"/>
      <color theme="1"/>
      <name val="Times New Roman"/>
      <family val="1"/>
    </font>
    <font>
      <b/>
      <sz val="10"/>
      <color theme="1"/>
      <name val="宋体"/>
      <family val="3"/>
      <charset val="134"/>
      <scheme val="minor"/>
    </font>
    <font>
      <sz val="10"/>
      <color theme="1"/>
      <name val="宋体"/>
      <family val="3"/>
      <charset val="134"/>
      <scheme val="minor"/>
    </font>
    <font>
      <sz val="9"/>
      <color theme="1"/>
      <name val="Times New Roman"/>
      <family val="1"/>
    </font>
    <font>
      <b/>
      <sz val="9"/>
      <color theme="1"/>
      <name val="宋体"/>
      <family val="3"/>
      <charset val="134"/>
      <scheme val="major"/>
    </font>
    <font>
      <sz val="10"/>
      <name val="宋体"/>
      <family val="3"/>
      <charset val="134"/>
      <scheme val="major"/>
    </font>
    <font>
      <sz val="11"/>
      <color theme="1"/>
      <name val="宋体"/>
      <family val="3"/>
      <charset val="134"/>
      <scheme val="major"/>
    </font>
    <font>
      <sz val="9"/>
      <name val="宋体"/>
      <family val="3"/>
      <charset val="134"/>
      <scheme val="major"/>
    </font>
    <font>
      <b/>
      <sz val="9"/>
      <name val="宋体"/>
      <family val="3"/>
      <charset val="134"/>
      <scheme val="maj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79982909634693444"/>
        <bgColor indexed="64"/>
      </patternFill>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6"/>
        <bgColor indexed="64"/>
      </patternFill>
    </fill>
    <fill>
      <patternFill patternType="solid">
        <fgColor theme="7"/>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4"/>
        <bgColor indexed="64"/>
      </patternFill>
    </fill>
    <fill>
      <patternFill patternType="solid">
        <fgColor theme="5"/>
        <bgColor indexed="64"/>
      </patternFill>
    </fill>
  </fills>
  <borders count="6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hair">
        <color auto="1"/>
      </left>
      <right style="hair">
        <color auto="1"/>
      </right>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right/>
      <top style="thin">
        <color auto="1"/>
      </top>
      <bottom/>
      <diagonal/>
    </border>
    <border>
      <left/>
      <right style="thin">
        <color auto="1"/>
      </right>
      <top style="thin">
        <color auto="1"/>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right/>
      <top style="thin">
        <color auto="1"/>
      </top>
      <bottom style="hair">
        <color auto="1"/>
      </bottom>
      <diagonal/>
    </border>
    <border>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top style="thin">
        <color auto="1"/>
      </top>
      <bottom/>
      <diagonal/>
    </border>
    <border>
      <left/>
      <right style="thin">
        <color auto="1"/>
      </right>
      <top/>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medium">
        <color auto="1"/>
      </left>
      <right style="thin">
        <color auto="1"/>
      </right>
      <top style="thin">
        <color auto="1"/>
      </top>
      <bottom style="thin">
        <color auto="1"/>
      </bottom>
      <diagonal/>
    </border>
    <border>
      <left style="hair">
        <color auto="1"/>
      </left>
      <right/>
      <top style="hair">
        <color auto="1"/>
      </top>
      <bottom style="hair">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style="thin">
        <color rgb="FF339966"/>
      </right>
      <top/>
      <bottom/>
      <diagonal/>
    </border>
    <border>
      <left style="thin">
        <color rgb="FF339966"/>
      </left>
      <right/>
      <top/>
      <bottom/>
      <diagonal/>
    </border>
    <border>
      <left style="thin">
        <color rgb="FF339966"/>
      </left>
      <right/>
      <top/>
      <bottom style="thin">
        <color rgb="FF339966"/>
      </bottom>
      <diagonal/>
    </border>
    <border>
      <left style="thin">
        <color auto="1"/>
      </left>
      <right style="hair">
        <color auto="1"/>
      </right>
      <top style="hair">
        <color auto="1"/>
      </top>
      <bottom style="thin">
        <color auto="1"/>
      </bottom>
      <diagonal/>
    </border>
    <border>
      <left style="thin">
        <color auto="1"/>
      </left>
      <right/>
      <top style="hair">
        <color auto="1"/>
      </top>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right/>
      <top style="medium">
        <color auto="1"/>
      </top>
      <bottom/>
      <diagonal/>
    </border>
    <border>
      <left/>
      <right style="thin">
        <color auto="1"/>
      </right>
      <top style="hair">
        <color auto="1"/>
      </top>
      <bottom style="hair">
        <color auto="1"/>
      </bottom>
      <diagonal/>
    </border>
    <border>
      <left/>
      <right style="thin">
        <color auto="1"/>
      </right>
      <top style="hair">
        <color auto="1"/>
      </top>
      <bottom style="thin">
        <color auto="1"/>
      </bottom>
      <diagonal/>
    </border>
    <border>
      <left style="hair">
        <color auto="1"/>
      </left>
      <right style="thin">
        <color auto="1"/>
      </right>
      <top style="thin">
        <color auto="1"/>
      </top>
      <bottom style="thin">
        <color auto="1"/>
      </bottom>
      <diagonal/>
    </border>
    <border>
      <left/>
      <right/>
      <top style="hair">
        <color auto="1"/>
      </top>
      <bottom style="medium">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right/>
      <top style="hair">
        <color auto="1"/>
      </top>
      <bottom/>
      <diagonal/>
    </border>
    <border>
      <left/>
      <right style="thin">
        <color auto="1"/>
      </right>
      <top style="hair">
        <color auto="1"/>
      </top>
      <bottom/>
      <diagonal/>
    </border>
    <border>
      <left style="medium">
        <color indexed="64"/>
      </left>
      <right style="medium">
        <color indexed="64"/>
      </right>
      <top/>
      <bottom/>
      <diagonal/>
    </border>
    <border>
      <left style="medium">
        <color auto="1"/>
      </left>
      <right style="medium">
        <color indexed="64"/>
      </right>
      <top/>
      <bottom style="medium">
        <color indexed="64"/>
      </bottom>
      <diagonal/>
    </border>
    <border>
      <left/>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indexed="64"/>
      </left>
      <right style="medium">
        <color indexed="64"/>
      </right>
      <top style="medium">
        <color auto="1"/>
      </top>
      <bottom/>
      <diagonal/>
    </border>
    <border>
      <left style="hair">
        <color auto="1"/>
      </left>
      <right/>
      <top style="medium">
        <color auto="1"/>
      </top>
      <bottom style="hair">
        <color auto="1"/>
      </bottom>
      <diagonal/>
    </border>
    <border>
      <left style="hair">
        <color auto="1"/>
      </left>
      <right/>
      <top style="hair">
        <color auto="1"/>
      </top>
      <bottom style="medium">
        <color auto="1"/>
      </bottom>
      <diagonal/>
    </border>
    <border>
      <left style="hair">
        <color auto="1"/>
      </left>
      <right style="thin">
        <color indexed="64"/>
      </right>
      <top style="hair">
        <color auto="1"/>
      </top>
      <bottom style="thin">
        <color indexed="64"/>
      </bottom>
      <diagonal/>
    </border>
  </borders>
  <cellStyleXfs count="71">
    <xf numFmtId="193" fontId="0" fillId="0" borderId="0">
      <alignment vertical="center"/>
    </xf>
    <xf numFmtId="43" fontId="40" fillId="0" borderId="0" applyFont="0" applyFill="0" applyBorder="0" applyAlignment="0" applyProtection="0">
      <alignment vertical="center"/>
    </xf>
    <xf numFmtId="193" fontId="58" fillId="5" borderId="0" applyNumberFormat="0" applyBorder="0" applyProtection="0">
      <alignment horizontal="left" indent="1"/>
    </xf>
    <xf numFmtId="9" fontId="40" fillId="0" borderId="0" applyFont="0" applyFill="0" applyBorder="0" applyAlignment="0" applyProtection="0">
      <alignment vertical="center"/>
    </xf>
    <xf numFmtId="182" fontId="59" fillId="0" borderId="0" applyFill="0" applyBorder="0" applyAlignment="0"/>
    <xf numFmtId="9" fontId="40" fillId="0" borderId="0" applyFont="0" applyFill="0" applyBorder="0" applyAlignment="0" applyProtection="0">
      <alignment vertical="center"/>
    </xf>
    <xf numFmtId="9" fontId="60" fillId="0" borderId="0" applyFont="0" applyFill="0" applyBorder="0" applyAlignment="0" applyProtection="0">
      <alignment vertical="center"/>
    </xf>
    <xf numFmtId="193" fontId="40" fillId="0" borderId="0">
      <alignment vertical="center"/>
    </xf>
    <xf numFmtId="9" fontId="40" fillId="0" borderId="0" applyFont="0" applyFill="0" applyBorder="0" applyAlignment="0" applyProtection="0">
      <alignment vertical="center"/>
    </xf>
    <xf numFmtId="193" fontId="59" fillId="2" borderId="0" applyBorder="0" applyAlignment="0"/>
    <xf numFmtId="9" fontId="40" fillId="0" borderId="0" applyFont="0" applyFill="0" applyBorder="0" applyAlignment="0" applyProtection="0">
      <alignment vertical="center"/>
    </xf>
    <xf numFmtId="9" fontId="61" fillId="0" borderId="0" applyFont="0" applyFill="0" applyBorder="0" applyAlignment="0" applyProtection="0">
      <alignment vertical="center"/>
    </xf>
    <xf numFmtId="9" fontId="40" fillId="0" borderId="0" applyFont="0" applyFill="0" applyBorder="0" applyAlignment="0" applyProtection="0">
      <alignment vertical="center"/>
    </xf>
    <xf numFmtId="9" fontId="61" fillId="0" borderId="0" applyFont="0" applyFill="0" applyBorder="0" applyAlignment="0" applyProtection="0">
      <alignment vertical="center"/>
    </xf>
    <xf numFmtId="193" fontId="59" fillId="0" borderId="0" applyFill="0" applyBorder="0" applyAlignment="0" applyProtection="0"/>
    <xf numFmtId="9" fontId="40" fillId="0" borderId="0" applyFont="0" applyFill="0" applyBorder="0" applyAlignment="0" applyProtection="0"/>
    <xf numFmtId="9" fontId="40" fillId="0" borderId="0" applyFont="0" applyFill="0" applyBorder="0" applyAlignment="0" applyProtection="0">
      <alignment vertical="center"/>
    </xf>
    <xf numFmtId="193" fontId="62" fillId="0" borderId="0"/>
    <xf numFmtId="193" fontId="63" fillId="5" borderId="0" applyNumberFormat="0" applyProtection="0">
      <alignment horizontal="left" wrapText="1" indent="4"/>
    </xf>
    <xf numFmtId="193" fontId="61" fillId="0" borderId="0">
      <alignment vertical="center"/>
    </xf>
    <xf numFmtId="193" fontId="40" fillId="0" borderId="0">
      <alignment vertical="center"/>
    </xf>
    <xf numFmtId="9" fontId="61" fillId="0" borderId="0" applyFont="0" applyFill="0" applyBorder="0" applyAlignment="0" applyProtection="0">
      <alignment vertical="center"/>
    </xf>
    <xf numFmtId="193" fontId="64" fillId="5" borderId="0" applyNumberFormat="0" applyProtection="0">
      <alignment horizontal="left" wrapText="1" indent="4"/>
    </xf>
    <xf numFmtId="9" fontId="61" fillId="0" borderId="0" applyFont="0" applyFill="0" applyBorder="0" applyAlignment="0" applyProtection="0">
      <alignment vertical="center"/>
    </xf>
    <xf numFmtId="193" fontId="62" fillId="6" borderId="0" applyNumberFormat="0" applyBorder="0" applyProtection="0"/>
    <xf numFmtId="43" fontId="40" fillId="0" borderId="0" applyFont="0" applyFill="0" applyBorder="0" applyAlignment="0" applyProtection="0">
      <alignment vertical="center"/>
    </xf>
    <xf numFmtId="193" fontId="65" fillId="0" borderId="0" applyNumberFormat="0" applyFill="0" applyBorder="0" applyAlignment="0" applyProtection="0"/>
    <xf numFmtId="193" fontId="60" fillId="0" borderId="0">
      <alignment vertical="center"/>
    </xf>
    <xf numFmtId="193" fontId="66" fillId="0" borderId="0">
      <alignment vertical="center"/>
    </xf>
    <xf numFmtId="193" fontId="40" fillId="0" borderId="0"/>
    <xf numFmtId="193" fontId="40" fillId="0" borderId="0">
      <alignment vertical="center"/>
    </xf>
    <xf numFmtId="193" fontId="40" fillId="0" borderId="0">
      <alignment vertical="center"/>
    </xf>
    <xf numFmtId="193" fontId="40" fillId="0" borderId="0">
      <alignment vertical="center"/>
    </xf>
    <xf numFmtId="193" fontId="40" fillId="0" borderId="0">
      <alignment vertical="center"/>
    </xf>
    <xf numFmtId="193" fontId="60" fillId="0" borderId="0"/>
    <xf numFmtId="193" fontId="40" fillId="0" borderId="0"/>
    <xf numFmtId="193" fontId="60" fillId="0" borderId="0">
      <alignment vertical="center"/>
    </xf>
    <xf numFmtId="193" fontId="40" fillId="0" borderId="0">
      <alignment vertical="center"/>
    </xf>
    <xf numFmtId="193" fontId="40" fillId="0" borderId="0">
      <alignment vertical="center"/>
    </xf>
    <xf numFmtId="193" fontId="60" fillId="0" borderId="0">
      <alignment vertical="center"/>
    </xf>
    <xf numFmtId="193" fontId="59" fillId="0" borderId="0"/>
    <xf numFmtId="193" fontId="40" fillId="0" borderId="0">
      <alignment vertical="center"/>
    </xf>
    <xf numFmtId="193" fontId="40" fillId="0" borderId="0">
      <alignment vertical="center"/>
    </xf>
    <xf numFmtId="193" fontId="64" fillId="0" borderId="0" applyFill="0" applyBorder="0">
      <alignment wrapText="1"/>
    </xf>
    <xf numFmtId="193" fontId="60" fillId="0" borderId="0">
      <alignment vertical="center"/>
    </xf>
    <xf numFmtId="193" fontId="40" fillId="0" borderId="0">
      <alignment vertical="center"/>
    </xf>
    <xf numFmtId="193" fontId="40" fillId="0" borderId="0">
      <alignment vertical="center"/>
    </xf>
    <xf numFmtId="193" fontId="40" fillId="0" borderId="0">
      <alignment vertical="center"/>
    </xf>
    <xf numFmtId="193" fontId="40" fillId="0" borderId="0">
      <alignment vertical="center"/>
    </xf>
    <xf numFmtId="193" fontId="61" fillId="0" borderId="0">
      <alignment vertical="center"/>
    </xf>
    <xf numFmtId="193" fontId="67" fillId="0" borderId="0" applyNumberFormat="0" applyFill="0" applyBorder="0" applyAlignment="0" applyProtection="0">
      <alignment vertical="center"/>
    </xf>
    <xf numFmtId="193" fontId="59" fillId="7" borderId="40"/>
    <xf numFmtId="193" fontId="59" fillId="8" borderId="39"/>
    <xf numFmtId="193" fontId="59" fillId="7" borderId="0"/>
    <xf numFmtId="193" fontId="59" fillId="0" borderId="0" applyFill="0" applyBorder="0" applyAlignment="0" applyProtection="0"/>
    <xf numFmtId="180" fontId="40" fillId="0" borderId="0" applyFont="0" applyFill="0" applyBorder="0" applyAlignment="0" applyProtection="0">
      <alignment vertical="center"/>
    </xf>
    <xf numFmtId="193" fontId="59" fillId="0" borderId="41" applyNumberFormat="0" applyFill="0" applyAlignment="0"/>
    <xf numFmtId="193" fontId="59" fillId="0" borderId="42" applyNumberFormat="0" applyFill="0" applyAlignment="0"/>
    <xf numFmtId="193" fontId="59" fillId="0" borderId="43" applyNumberFormat="0" applyFill="0"/>
    <xf numFmtId="179" fontId="40" fillId="0" borderId="0" applyFont="0" applyFill="0" applyBorder="0" applyAlignment="0" applyProtection="0"/>
    <xf numFmtId="43" fontId="61" fillId="0" borderId="0" applyFont="0" applyFill="0" applyBorder="0" applyAlignment="0" applyProtection="0">
      <alignment vertical="center"/>
    </xf>
    <xf numFmtId="179" fontId="40" fillId="0" borderId="0" applyFont="0" applyFill="0" applyBorder="0" applyAlignment="0" applyProtection="0"/>
    <xf numFmtId="43" fontId="40" fillId="0" borderId="0" applyFont="0" applyFill="0" applyBorder="0" applyAlignment="0" applyProtection="0">
      <alignment vertical="center"/>
    </xf>
    <xf numFmtId="43" fontId="40" fillId="0" borderId="0" applyFont="0" applyFill="0" applyBorder="0" applyAlignment="0" applyProtection="0">
      <alignment vertical="center"/>
    </xf>
    <xf numFmtId="43" fontId="40" fillId="0" borderId="0" applyFont="0" applyFill="0" applyBorder="0" applyAlignment="0" applyProtection="0">
      <alignment vertical="center"/>
    </xf>
    <xf numFmtId="43" fontId="40" fillId="0" borderId="0" applyFont="0" applyFill="0" applyBorder="0" applyAlignment="0" applyProtection="0">
      <alignment vertical="center"/>
    </xf>
    <xf numFmtId="193" fontId="59" fillId="0" borderId="11" applyNumberFormat="0" applyFill="0" applyAlignment="0"/>
    <xf numFmtId="193" fontId="68" fillId="9" borderId="0" applyNumberFormat="0" applyBorder="0" applyAlignment="0" applyProtection="0">
      <alignment vertical="center"/>
    </xf>
    <xf numFmtId="193" fontId="68" fillId="10" borderId="0" applyNumberFormat="0" applyBorder="0" applyAlignment="0" applyProtection="0">
      <alignment vertical="center"/>
    </xf>
    <xf numFmtId="193" fontId="85" fillId="0" borderId="0" applyNumberFormat="0" applyFill="0" applyBorder="0" applyAlignment="0" applyProtection="0">
      <alignment vertical="center"/>
    </xf>
    <xf numFmtId="193" fontId="60" fillId="0" borderId="0"/>
  </cellStyleXfs>
  <cellXfs count="792">
    <xf numFmtId="193" fontId="0" fillId="0" borderId="0" xfId="0">
      <alignment vertical="center"/>
    </xf>
    <xf numFmtId="193" fontId="8" fillId="0" borderId="0" xfId="0" applyFont="1">
      <alignment vertical="center"/>
    </xf>
    <xf numFmtId="187" fontId="10" fillId="0" borderId="3" xfId="0" applyNumberFormat="1" applyFont="1" applyBorder="1" applyAlignment="1">
      <alignment horizontal="center" vertical="center"/>
    </xf>
    <xf numFmtId="187" fontId="11" fillId="0" borderId="3" xfId="0" applyNumberFormat="1" applyFont="1" applyBorder="1" applyAlignment="1">
      <alignment horizontal="center" vertical="center"/>
    </xf>
    <xf numFmtId="187" fontId="12" fillId="0" borderId="3" xfId="0" applyNumberFormat="1" applyFont="1" applyBorder="1" applyAlignment="1">
      <alignment horizontal="left" vertical="center" wrapText="1"/>
    </xf>
    <xf numFmtId="188" fontId="8" fillId="0" borderId="3" xfId="0" applyNumberFormat="1" applyFont="1" applyBorder="1" applyAlignment="1">
      <alignment horizontal="center" vertical="center"/>
    </xf>
    <xf numFmtId="187" fontId="10" fillId="0" borderId="3" xfId="0" applyNumberFormat="1" applyFont="1" applyBorder="1" applyAlignment="1">
      <alignment horizontal="left" vertical="center" wrapText="1" indent="1"/>
    </xf>
    <xf numFmtId="187" fontId="10" fillId="3" borderId="0" xfId="0" applyNumberFormat="1" applyFont="1" applyFill="1" applyAlignment="1">
      <alignment horizontal="left" vertical="center" wrapText="1" indent="1"/>
    </xf>
    <xf numFmtId="187" fontId="8" fillId="3" borderId="0" xfId="0" applyNumberFormat="1" applyFont="1" applyFill="1" applyAlignment="1">
      <alignment horizontal="center" vertical="center"/>
    </xf>
    <xf numFmtId="10" fontId="13" fillId="0" borderId="3" xfId="0" applyNumberFormat="1" applyFont="1" applyBorder="1" applyAlignment="1">
      <alignment horizontal="center" vertical="center"/>
    </xf>
    <xf numFmtId="193" fontId="14" fillId="0" borderId="4" xfId="0" applyFont="1" applyBorder="1">
      <alignment vertical="center"/>
    </xf>
    <xf numFmtId="189" fontId="13" fillId="3" borderId="3" xfId="0" applyNumberFormat="1" applyFont="1" applyFill="1" applyBorder="1" applyAlignment="1">
      <alignment horizontal="center" vertical="center"/>
    </xf>
    <xf numFmtId="190" fontId="0" fillId="0" borderId="0" xfId="5" applyNumberFormat="1" applyFont="1">
      <alignment vertical="center"/>
    </xf>
    <xf numFmtId="187" fontId="10" fillId="3" borderId="3" xfId="0" applyNumberFormat="1" applyFont="1" applyFill="1" applyBorder="1" applyAlignment="1">
      <alignment horizontal="center" vertical="center"/>
    </xf>
    <xf numFmtId="187" fontId="11" fillId="3" borderId="3" xfId="0" applyNumberFormat="1" applyFont="1" applyFill="1" applyBorder="1" applyAlignment="1">
      <alignment horizontal="center" vertical="center"/>
    </xf>
    <xf numFmtId="187" fontId="12" fillId="3" borderId="3" xfId="0" applyNumberFormat="1" applyFont="1" applyFill="1" applyBorder="1" applyAlignment="1">
      <alignment horizontal="left" vertical="center" wrapText="1"/>
    </xf>
    <xf numFmtId="188" fontId="8" fillId="3" borderId="3" xfId="0" applyNumberFormat="1" applyFont="1" applyFill="1" applyBorder="1" applyAlignment="1">
      <alignment horizontal="center" vertical="center"/>
    </xf>
    <xf numFmtId="187" fontId="10" fillId="3" borderId="3" xfId="0" applyNumberFormat="1" applyFont="1" applyFill="1" applyBorder="1" applyAlignment="1">
      <alignment horizontal="left" vertical="center" wrapText="1" indent="1"/>
    </xf>
    <xf numFmtId="187" fontId="11" fillId="3" borderId="6" xfId="0" applyNumberFormat="1" applyFont="1" applyFill="1" applyBorder="1" applyAlignment="1">
      <alignment horizontal="center" vertical="center"/>
    </xf>
    <xf numFmtId="187" fontId="12" fillId="3" borderId="6" xfId="0" applyNumberFormat="1" applyFont="1" applyFill="1" applyBorder="1" applyAlignment="1">
      <alignment horizontal="left" vertical="center" wrapText="1"/>
    </xf>
    <xf numFmtId="193" fontId="15" fillId="0" borderId="0" xfId="0" applyFont="1">
      <alignment vertical="center"/>
    </xf>
    <xf numFmtId="193" fontId="11" fillId="3" borderId="0" xfId="0" applyFont="1" applyFill="1">
      <alignment vertical="center"/>
    </xf>
    <xf numFmtId="193" fontId="8" fillId="3" borderId="0" xfId="0" applyFont="1" applyFill="1">
      <alignment vertical="center"/>
    </xf>
    <xf numFmtId="187" fontId="12" fillId="3" borderId="3" xfId="0" applyNumberFormat="1" applyFont="1" applyFill="1" applyBorder="1" applyAlignment="1">
      <alignment horizontal="center" vertical="center"/>
    </xf>
    <xf numFmtId="187" fontId="12" fillId="3" borderId="3" xfId="0" applyNumberFormat="1" applyFont="1" applyFill="1" applyBorder="1" applyAlignment="1">
      <alignment horizontal="center" vertical="center" wrapText="1"/>
    </xf>
    <xf numFmtId="188" fontId="10" fillId="3" borderId="3" xfId="0" applyNumberFormat="1" applyFont="1" applyFill="1" applyBorder="1" applyAlignment="1">
      <alignment horizontal="center" vertical="center"/>
    </xf>
    <xf numFmtId="187" fontId="10" fillId="3" borderId="3" xfId="0" applyNumberFormat="1" applyFont="1" applyFill="1" applyBorder="1" applyAlignment="1">
      <alignment horizontal="center" vertical="center" wrapText="1"/>
    </xf>
    <xf numFmtId="193" fontId="10" fillId="3" borderId="0" xfId="0" applyFont="1" applyFill="1">
      <alignment vertical="center"/>
    </xf>
    <xf numFmtId="187" fontId="8" fillId="3" borderId="0" xfId="0" applyNumberFormat="1" applyFont="1" applyFill="1">
      <alignment vertical="center"/>
    </xf>
    <xf numFmtId="1" fontId="8" fillId="3" borderId="0" xfId="0" applyNumberFormat="1" applyFont="1" applyFill="1">
      <alignment vertical="center"/>
    </xf>
    <xf numFmtId="193" fontId="0" fillId="3" borderId="0" xfId="0" applyFill="1">
      <alignment vertical="center"/>
    </xf>
    <xf numFmtId="193" fontId="17" fillId="0" borderId="0" xfId="0" applyFont="1">
      <alignment vertical="center"/>
    </xf>
    <xf numFmtId="193" fontId="4" fillId="0" borderId="3" xfId="0" applyFont="1" applyBorder="1">
      <alignment vertical="center"/>
    </xf>
    <xf numFmtId="193" fontId="3" fillId="0" borderId="3" xfId="0" applyFont="1" applyBorder="1">
      <alignment vertical="center"/>
    </xf>
    <xf numFmtId="193" fontId="19" fillId="0" borderId="0" xfId="0" applyFont="1">
      <alignment vertical="center"/>
    </xf>
    <xf numFmtId="193" fontId="20" fillId="0" borderId="0" xfId="0" applyFont="1">
      <alignment vertical="center"/>
    </xf>
    <xf numFmtId="187" fontId="8" fillId="0" borderId="0" xfId="0" applyNumberFormat="1" applyFont="1">
      <alignment vertical="center"/>
    </xf>
    <xf numFmtId="193" fontId="1" fillId="0" borderId="0" xfId="0" applyFont="1">
      <alignment vertical="center"/>
    </xf>
    <xf numFmtId="187" fontId="10" fillId="0" borderId="3" xfId="0" applyNumberFormat="1" applyFont="1" applyBorder="1" applyAlignment="1">
      <alignment horizontal="center" vertical="center" wrapText="1"/>
    </xf>
    <xf numFmtId="187" fontId="21" fillId="0" borderId="0" xfId="0" applyNumberFormat="1" applyFont="1" applyAlignment="1">
      <alignment horizontal="center" vertical="center" wrapText="1"/>
    </xf>
    <xf numFmtId="187" fontId="8" fillId="3" borderId="0" xfId="0" applyNumberFormat="1" applyFont="1" applyFill="1" applyAlignment="1">
      <alignment horizontal="right" vertical="center"/>
    </xf>
    <xf numFmtId="193" fontId="5" fillId="0" borderId="0" xfId="0" applyFont="1" applyAlignment="1">
      <alignment horizontal="center" vertical="center"/>
    </xf>
    <xf numFmtId="183" fontId="5" fillId="0" borderId="2" xfId="0" applyNumberFormat="1" applyFont="1" applyBorder="1" applyAlignment="1">
      <alignment horizontal="left" vertical="center"/>
    </xf>
    <xf numFmtId="183" fontId="5" fillId="0" borderId="3" xfId="0" applyNumberFormat="1" applyFont="1" applyBorder="1">
      <alignment vertical="center"/>
    </xf>
    <xf numFmtId="191" fontId="7" fillId="0" borderId="3" xfId="0" applyNumberFormat="1" applyFont="1" applyBorder="1">
      <alignment vertical="center"/>
    </xf>
    <xf numFmtId="183" fontId="5" fillId="0" borderId="4" xfId="0" applyNumberFormat="1" applyFont="1" applyBorder="1" applyAlignment="1">
      <alignment horizontal="left" vertical="center" wrapText="1"/>
    </xf>
    <xf numFmtId="176" fontId="1" fillId="0" borderId="3" xfId="0" applyNumberFormat="1" applyFont="1" applyBorder="1">
      <alignment vertical="center"/>
    </xf>
    <xf numFmtId="187" fontId="11" fillId="3" borderId="0" xfId="0" applyNumberFormat="1" applyFont="1" applyFill="1">
      <alignment vertical="center"/>
    </xf>
    <xf numFmtId="10" fontId="8" fillId="0" borderId="0" xfId="5" applyNumberFormat="1" applyFont="1" applyFill="1" applyBorder="1" applyAlignment="1">
      <alignment vertical="center" wrapText="1"/>
    </xf>
    <xf numFmtId="193" fontId="8" fillId="0" borderId="0" xfId="7" applyFont="1">
      <alignment vertical="center"/>
    </xf>
    <xf numFmtId="193" fontId="11" fillId="0" borderId="0" xfId="7" applyFont="1">
      <alignment vertical="center"/>
    </xf>
    <xf numFmtId="193" fontId="8" fillId="3" borderId="0" xfId="7" applyFont="1" applyFill="1">
      <alignment vertical="center"/>
    </xf>
    <xf numFmtId="193" fontId="25" fillId="0" borderId="0" xfId="7" applyFont="1">
      <alignment vertical="center"/>
    </xf>
    <xf numFmtId="192" fontId="10" fillId="0" borderId="3" xfId="7" applyNumberFormat="1" applyFont="1" applyBorder="1" applyAlignment="1">
      <alignment horizontal="center" vertical="center"/>
    </xf>
    <xf numFmtId="193" fontId="10" fillId="0" borderId="3" xfId="7" applyFont="1" applyBorder="1">
      <alignment vertical="center"/>
    </xf>
    <xf numFmtId="192" fontId="10" fillId="3" borderId="3" xfId="7" applyNumberFormat="1" applyFont="1" applyFill="1" applyBorder="1" applyAlignment="1">
      <alignment horizontal="center" vertical="center"/>
    </xf>
    <xf numFmtId="193" fontId="10" fillId="3" borderId="3" xfId="7" applyFont="1" applyFill="1" applyBorder="1">
      <alignment vertical="center"/>
    </xf>
    <xf numFmtId="193" fontId="26" fillId="0" borderId="0" xfId="7" applyFont="1">
      <alignment vertical="center"/>
    </xf>
    <xf numFmtId="193" fontId="10" fillId="0" borderId="3" xfId="7" applyFont="1" applyBorder="1" applyAlignment="1">
      <alignment horizontal="left" vertical="center"/>
    </xf>
    <xf numFmtId="177" fontId="8" fillId="3" borderId="0" xfId="0" applyNumberFormat="1" applyFont="1" applyFill="1">
      <alignment vertical="center"/>
    </xf>
    <xf numFmtId="177" fontId="11" fillId="3" borderId="0" xfId="0" applyNumberFormat="1" applyFont="1" applyFill="1">
      <alignment vertical="center"/>
    </xf>
    <xf numFmtId="177" fontId="19" fillId="3" borderId="0" xfId="0" applyNumberFormat="1" applyFont="1" applyFill="1">
      <alignment vertical="center"/>
    </xf>
    <xf numFmtId="177" fontId="19" fillId="3" borderId="0" xfId="0" applyNumberFormat="1" applyFont="1" applyFill="1" applyAlignment="1">
      <alignment horizontal="center" vertical="center"/>
    </xf>
    <xf numFmtId="177" fontId="27" fillId="3" borderId="0" xfId="0" applyNumberFormat="1" applyFont="1" applyFill="1">
      <alignment vertical="center"/>
    </xf>
    <xf numFmtId="177" fontId="10" fillId="0" borderId="3" xfId="0" applyNumberFormat="1" applyFont="1" applyBorder="1" applyAlignment="1">
      <alignment horizontal="center" vertical="center" wrapText="1"/>
    </xf>
    <xf numFmtId="177" fontId="10" fillId="0" borderId="3" xfId="0" applyNumberFormat="1" applyFont="1" applyBorder="1" applyAlignment="1">
      <alignment horizontal="center" vertical="center"/>
    </xf>
    <xf numFmtId="177" fontId="10" fillId="0" borderId="1" xfId="0" applyNumberFormat="1" applyFont="1" applyBorder="1" applyAlignment="1">
      <alignment horizontal="center" vertical="center"/>
    </xf>
    <xf numFmtId="177" fontId="30" fillId="0" borderId="4" xfId="0" applyNumberFormat="1" applyFont="1" applyBorder="1" applyAlignment="1">
      <alignment horizontal="center" vertical="center"/>
    </xf>
    <xf numFmtId="177" fontId="30" fillId="0" borderId="3" xfId="0" applyNumberFormat="1" applyFont="1" applyBorder="1" applyAlignment="1">
      <alignment horizontal="center" vertical="center"/>
    </xf>
    <xf numFmtId="177" fontId="8" fillId="0" borderId="0" xfId="0" applyNumberFormat="1" applyFont="1" applyAlignment="1">
      <alignment horizontal="center" vertical="center" wrapText="1"/>
    </xf>
    <xf numFmtId="177" fontId="31" fillId="0" borderId="0" xfId="0" applyNumberFormat="1" applyFont="1" applyAlignment="1">
      <alignment horizontal="center" vertical="center"/>
    </xf>
    <xf numFmtId="177" fontId="8" fillId="0" borderId="0" xfId="0" applyNumberFormat="1" applyFont="1" applyAlignment="1">
      <alignment horizontal="center" vertical="center"/>
    </xf>
    <xf numFmtId="177" fontId="10" fillId="0" borderId="0" xfId="0" applyNumberFormat="1" applyFont="1" applyAlignment="1">
      <alignment horizontal="center" vertical="center"/>
    </xf>
    <xf numFmtId="184" fontId="8" fillId="0" borderId="3" xfId="0" applyNumberFormat="1" applyFont="1" applyBorder="1" applyAlignment="1">
      <alignment horizontal="center" vertical="center"/>
    </xf>
    <xf numFmtId="184" fontId="7" fillId="0" borderId="3" xfId="0" applyNumberFormat="1" applyFont="1" applyBorder="1" applyAlignment="1">
      <alignment horizontal="center" vertical="center"/>
    </xf>
    <xf numFmtId="43" fontId="19" fillId="3" borderId="0" xfId="1" applyFont="1" applyFill="1" applyAlignment="1">
      <alignment horizontal="center" vertical="center"/>
    </xf>
    <xf numFmtId="193" fontId="32" fillId="0" borderId="0" xfId="0" applyFont="1">
      <alignment vertical="center"/>
    </xf>
    <xf numFmtId="193" fontId="33" fillId="0" borderId="0" xfId="0" applyFont="1">
      <alignment vertical="center"/>
    </xf>
    <xf numFmtId="186" fontId="33" fillId="0" borderId="0" xfId="0" applyNumberFormat="1" applyFont="1">
      <alignment vertical="center"/>
    </xf>
    <xf numFmtId="193" fontId="34" fillId="0" borderId="0" xfId="0" applyFont="1">
      <alignment vertical="center"/>
    </xf>
    <xf numFmtId="193" fontId="34" fillId="0" borderId="0" xfId="0" applyFont="1" applyAlignment="1">
      <alignment horizontal="center" vertical="center"/>
    </xf>
    <xf numFmtId="194" fontId="37" fillId="0" borderId="3" xfId="0" applyNumberFormat="1" applyFont="1" applyBorder="1" applyAlignment="1">
      <alignment horizontal="center" vertical="center"/>
    </xf>
    <xf numFmtId="195" fontId="36" fillId="0" borderId="3" xfId="0" applyNumberFormat="1" applyFont="1" applyBorder="1" applyAlignment="1">
      <alignment horizontal="center" vertical="center"/>
    </xf>
    <xf numFmtId="186" fontId="36" fillId="0" borderId="3" xfId="0" applyNumberFormat="1" applyFont="1" applyBorder="1" applyAlignment="1">
      <alignment horizontal="center" vertical="center"/>
    </xf>
    <xf numFmtId="193" fontId="35" fillId="0" borderId="0" xfId="0" applyFont="1">
      <alignment vertical="center"/>
    </xf>
    <xf numFmtId="193" fontId="36" fillId="0" borderId="0" xfId="0" applyFont="1">
      <alignment vertical="center"/>
    </xf>
    <xf numFmtId="193" fontId="39" fillId="0" borderId="0" xfId="30" applyFont="1">
      <alignment vertical="center"/>
    </xf>
    <xf numFmtId="193" fontId="40" fillId="0" borderId="0" xfId="30">
      <alignment vertical="center"/>
    </xf>
    <xf numFmtId="193" fontId="40" fillId="0" borderId="0" xfId="47">
      <alignment vertical="center"/>
    </xf>
    <xf numFmtId="193" fontId="3" fillId="0" borderId="3" xfId="47" applyFont="1" applyBorder="1" applyAlignment="1">
      <alignment horizontal="center" vertical="center"/>
    </xf>
    <xf numFmtId="193" fontId="4" fillId="0" borderId="3" xfId="47" applyFont="1" applyBorder="1" applyAlignment="1">
      <alignment horizontal="center" vertical="center"/>
    </xf>
    <xf numFmtId="191" fontId="3" fillId="0" borderId="3" xfId="47" applyNumberFormat="1" applyFont="1" applyBorder="1">
      <alignment vertical="center"/>
    </xf>
    <xf numFmtId="193" fontId="16" fillId="0" borderId="3" xfId="47" applyFont="1" applyBorder="1" applyAlignment="1">
      <alignment horizontal="center" vertical="center"/>
    </xf>
    <xf numFmtId="193" fontId="16" fillId="0" borderId="3" xfId="47" applyFont="1" applyBorder="1">
      <alignment vertical="center"/>
    </xf>
    <xf numFmtId="9" fontId="41" fillId="0" borderId="3" xfId="47" applyNumberFormat="1" applyFont="1" applyBorder="1">
      <alignment vertical="center"/>
    </xf>
    <xf numFmtId="191" fontId="42" fillId="0" borderId="3" xfId="47" applyNumberFormat="1" applyFont="1" applyBorder="1" applyAlignment="1">
      <alignment horizontal="center" vertical="center"/>
    </xf>
    <xf numFmtId="191" fontId="42" fillId="0" borderId="3" xfId="47" applyNumberFormat="1" applyFont="1" applyBorder="1">
      <alignment vertical="center"/>
    </xf>
    <xf numFmtId="191" fontId="43" fillId="0" borderId="3" xfId="47" applyNumberFormat="1" applyFont="1" applyBorder="1" applyAlignment="1">
      <alignment vertical="center" wrapText="1"/>
    </xf>
    <xf numFmtId="193" fontId="40" fillId="0" borderId="0" xfId="47" applyAlignment="1">
      <alignment horizontal="center" vertical="center"/>
    </xf>
    <xf numFmtId="10" fontId="0" fillId="0" borderId="0" xfId="5" applyNumberFormat="1" applyFont="1" applyFill="1" applyAlignment="1">
      <alignment vertical="center"/>
    </xf>
    <xf numFmtId="1" fontId="40" fillId="0" borderId="0" xfId="47" applyNumberFormat="1">
      <alignment vertical="center"/>
    </xf>
    <xf numFmtId="193" fontId="44" fillId="0" borderId="0" xfId="0" applyFont="1">
      <alignment vertical="center"/>
    </xf>
    <xf numFmtId="193" fontId="27" fillId="0" borderId="0" xfId="0" applyFont="1">
      <alignment vertical="center"/>
    </xf>
    <xf numFmtId="193" fontId="45" fillId="0" borderId="0" xfId="0" applyFont="1">
      <alignment vertical="center"/>
    </xf>
    <xf numFmtId="193" fontId="25" fillId="0" borderId="0" xfId="0" applyFont="1">
      <alignment vertical="center"/>
    </xf>
    <xf numFmtId="193" fontId="25" fillId="0" borderId="0" xfId="0" applyFont="1" applyAlignment="1">
      <alignment horizontal="center" vertical="center"/>
    </xf>
    <xf numFmtId="185" fontId="12" fillId="0" borderId="3" xfId="0" applyNumberFormat="1" applyFont="1" applyBorder="1" applyAlignment="1">
      <alignment horizontal="center" vertical="center" wrapText="1"/>
    </xf>
    <xf numFmtId="193" fontId="10" fillId="0" borderId="3" xfId="0" applyFont="1" applyBorder="1" applyAlignment="1">
      <alignment horizontal="left" vertical="center" wrapText="1"/>
    </xf>
    <xf numFmtId="193" fontId="12" fillId="0" borderId="3" xfId="0" applyFont="1" applyBorder="1" applyAlignment="1">
      <alignment horizontal="left" vertical="center" wrapText="1"/>
    </xf>
    <xf numFmtId="193" fontId="10" fillId="0" borderId="0" xfId="0" applyFont="1">
      <alignment vertical="center"/>
    </xf>
    <xf numFmtId="43" fontId="12" fillId="0" borderId="0" xfId="0" applyNumberFormat="1" applyFont="1" applyAlignment="1">
      <alignment horizontal="center" vertical="center" wrapText="1"/>
    </xf>
    <xf numFmtId="185" fontId="10" fillId="0" borderId="0" xfId="0" applyNumberFormat="1" applyFont="1" applyAlignment="1">
      <alignment horizontal="center" vertical="center" wrapText="1"/>
    </xf>
    <xf numFmtId="193" fontId="10" fillId="0" borderId="0" xfId="0" applyFont="1" applyAlignment="1">
      <alignment horizontal="center" vertical="center"/>
    </xf>
    <xf numFmtId="193" fontId="26" fillId="0" borderId="0" xfId="0" applyFont="1">
      <alignment vertical="center"/>
    </xf>
    <xf numFmtId="193" fontId="26" fillId="0" borderId="0" xfId="0" applyFont="1" applyAlignment="1">
      <alignment horizontal="center" vertical="center"/>
    </xf>
    <xf numFmtId="193" fontId="10" fillId="0" borderId="0" xfId="0" applyFont="1" applyAlignment="1">
      <alignment horizontal="left" vertical="center"/>
    </xf>
    <xf numFmtId="185" fontId="12" fillId="0" borderId="0" xfId="0" applyNumberFormat="1" applyFont="1" applyAlignment="1">
      <alignment horizontal="center" vertical="center" wrapText="1"/>
    </xf>
    <xf numFmtId="185" fontId="10" fillId="0" borderId="0" xfId="0" applyNumberFormat="1" applyFont="1" applyAlignment="1">
      <alignment horizontal="center" vertical="center"/>
    </xf>
    <xf numFmtId="185" fontId="8" fillId="0" borderId="0" xfId="0" applyNumberFormat="1" applyFont="1" applyAlignment="1">
      <alignment horizontal="center" vertical="center"/>
    </xf>
    <xf numFmtId="193" fontId="28" fillId="0" borderId="0" xfId="0" applyFont="1">
      <alignment vertical="center"/>
    </xf>
    <xf numFmtId="178" fontId="0" fillId="0" borderId="0" xfId="30" applyNumberFormat="1" applyFont="1">
      <alignment vertical="center"/>
    </xf>
    <xf numFmtId="193" fontId="0" fillId="0" borderId="0" xfId="30" applyFont="1">
      <alignment vertical="center"/>
    </xf>
    <xf numFmtId="177" fontId="39" fillId="0" borderId="0" xfId="47" applyNumberFormat="1" applyFont="1">
      <alignment vertical="center"/>
    </xf>
    <xf numFmtId="177" fontId="40" fillId="0" borderId="0" xfId="47" applyNumberFormat="1">
      <alignment vertical="center"/>
    </xf>
    <xf numFmtId="177" fontId="40" fillId="3" borderId="0" xfId="47" applyNumberFormat="1" applyFill="1">
      <alignment vertical="center"/>
    </xf>
    <xf numFmtId="177" fontId="39" fillId="3" borderId="0" xfId="47" applyNumberFormat="1" applyFont="1" applyFill="1">
      <alignment vertical="center"/>
    </xf>
    <xf numFmtId="193" fontId="10" fillId="0" borderId="5" xfId="0" applyFont="1" applyBorder="1" applyAlignment="1">
      <alignment horizontal="center" vertical="center"/>
    </xf>
    <xf numFmtId="194" fontId="27" fillId="0" borderId="0" xfId="0" applyNumberFormat="1" applyFont="1">
      <alignment vertical="center"/>
    </xf>
    <xf numFmtId="192" fontId="12" fillId="0" borderId="25" xfId="0" applyNumberFormat="1" applyFont="1" applyBorder="1" applyAlignment="1">
      <alignment horizontal="center" vertical="center"/>
    </xf>
    <xf numFmtId="192" fontId="12" fillId="0" borderId="0" xfId="0" applyNumberFormat="1" applyFont="1" applyAlignment="1">
      <alignment horizontal="center" vertical="center"/>
    </xf>
    <xf numFmtId="194" fontId="10" fillId="0" borderId="25" xfId="0" applyNumberFormat="1" applyFont="1" applyBorder="1" applyAlignment="1">
      <alignment horizontal="center" vertical="center"/>
    </xf>
    <xf numFmtId="192" fontId="10" fillId="0" borderId="0" xfId="0" applyNumberFormat="1" applyFont="1" applyAlignment="1">
      <alignment horizontal="left" vertical="center"/>
    </xf>
    <xf numFmtId="192" fontId="10" fillId="0" borderId="0" xfId="0" applyNumberFormat="1" applyFont="1" applyAlignment="1">
      <alignment horizontal="center" vertical="center"/>
    </xf>
    <xf numFmtId="194" fontId="12" fillId="0" borderId="25" xfId="0" applyNumberFormat="1" applyFont="1" applyBorder="1" applyAlignment="1">
      <alignment horizontal="center" vertical="center"/>
    </xf>
    <xf numFmtId="194" fontId="10" fillId="0" borderId="0" xfId="0" applyNumberFormat="1" applyFont="1" applyAlignment="1">
      <alignment horizontal="left" vertical="center"/>
    </xf>
    <xf numFmtId="194" fontId="10" fillId="0" borderId="0" xfId="0" applyNumberFormat="1" applyFont="1" applyAlignment="1">
      <alignment horizontal="center" vertical="center"/>
    </xf>
    <xf numFmtId="191" fontId="10" fillId="0" borderId="0" xfId="0" applyNumberFormat="1" applyFont="1">
      <alignment vertical="center"/>
    </xf>
    <xf numFmtId="193" fontId="25" fillId="0" borderId="3" xfId="0" applyFont="1" applyBorder="1" applyAlignment="1">
      <alignment horizontal="center" vertical="center"/>
    </xf>
    <xf numFmtId="191" fontId="8" fillId="0" borderId="3" xfId="0" applyNumberFormat="1" applyFont="1" applyBorder="1" applyAlignment="1">
      <alignment horizontal="center" vertical="center"/>
    </xf>
    <xf numFmtId="9" fontId="27" fillId="0" borderId="3" xfId="5" applyFont="1" applyFill="1" applyBorder="1" applyAlignment="1">
      <alignment horizontal="right" vertical="center"/>
    </xf>
    <xf numFmtId="193" fontId="5" fillId="0" borderId="3" xfId="0" applyFont="1" applyBorder="1" applyAlignment="1">
      <alignment horizontal="center" vertical="center"/>
    </xf>
    <xf numFmtId="10" fontId="12" fillId="0" borderId="28" xfId="0" applyNumberFormat="1" applyFont="1" applyBorder="1" applyAlignment="1">
      <alignment horizontal="center" vertical="center"/>
    </xf>
    <xf numFmtId="10" fontId="6" fillId="0" borderId="3" xfId="5" applyNumberFormat="1" applyFont="1" applyFill="1" applyBorder="1" applyAlignment="1">
      <alignment horizontal="center" vertical="center"/>
    </xf>
    <xf numFmtId="197" fontId="12" fillId="0" borderId="28" xfId="0" applyNumberFormat="1" applyFont="1" applyBorder="1" applyAlignment="1">
      <alignment horizontal="center" vertical="center"/>
    </xf>
    <xf numFmtId="10" fontId="12" fillId="0" borderId="0" xfId="0" applyNumberFormat="1" applyFont="1" applyAlignment="1">
      <alignment horizontal="center" vertical="center"/>
    </xf>
    <xf numFmtId="9" fontId="25" fillId="0" borderId="0" xfId="5" applyFont="1" applyFill="1">
      <alignment vertical="center"/>
    </xf>
    <xf numFmtId="193" fontId="40" fillId="0" borderId="0" xfId="35"/>
    <xf numFmtId="193" fontId="27" fillId="0" borderId="0" xfId="0" applyFont="1" applyAlignment="1">
      <alignment horizontal="center" vertical="center"/>
    </xf>
    <xf numFmtId="193" fontId="27" fillId="0" borderId="3" xfId="0" applyFont="1" applyBorder="1" applyAlignment="1">
      <alignment horizontal="center" vertical="center"/>
    </xf>
    <xf numFmtId="185" fontId="45" fillId="0" borderId="3" xfId="1" applyNumberFormat="1" applyFont="1" applyBorder="1" applyAlignment="1">
      <alignment horizontal="center" vertical="center"/>
    </xf>
    <xf numFmtId="185" fontId="46" fillId="0" borderId="3" xfId="32" applyNumberFormat="1" applyFont="1" applyBorder="1" applyAlignment="1">
      <alignment horizontal="center" vertical="center" wrapText="1"/>
    </xf>
    <xf numFmtId="193" fontId="45" fillId="0" borderId="3" xfId="0" applyFont="1" applyBorder="1" applyAlignment="1">
      <alignment horizontal="center" vertical="center"/>
    </xf>
    <xf numFmtId="198" fontId="27" fillId="0" borderId="3" xfId="1" applyNumberFormat="1" applyFont="1" applyBorder="1" applyAlignment="1">
      <alignment horizontal="center" vertical="center"/>
    </xf>
    <xf numFmtId="193" fontId="1" fillId="0" borderId="3" xfId="32" applyFont="1" applyBorder="1" applyAlignment="1">
      <alignment horizontal="center" vertical="center" wrapText="1"/>
    </xf>
    <xf numFmtId="185" fontId="1" fillId="0" borderId="3" xfId="1" applyNumberFormat="1" applyFont="1" applyFill="1" applyBorder="1" applyAlignment="1">
      <alignment horizontal="center" vertical="center" wrapText="1"/>
    </xf>
    <xf numFmtId="10" fontId="45" fillId="0" borderId="3" xfId="0" applyNumberFormat="1" applyFont="1" applyBorder="1" applyAlignment="1">
      <alignment horizontal="center" vertical="center"/>
    </xf>
    <xf numFmtId="177" fontId="27" fillId="3" borderId="3" xfId="0" applyNumberFormat="1" applyFont="1" applyFill="1" applyBorder="1" applyAlignment="1">
      <alignment horizontal="center" vertical="center"/>
    </xf>
    <xf numFmtId="193" fontId="1" fillId="0" borderId="3" xfId="0" applyFont="1" applyBorder="1" applyAlignment="1">
      <alignment horizontal="center" vertical="center" wrapText="1"/>
    </xf>
    <xf numFmtId="185" fontId="1" fillId="0" borderId="3" xfId="1" applyNumberFormat="1" applyFont="1" applyBorder="1" applyAlignment="1">
      <alignment horizontal="center" vertical="center" wrapText="1"/>
    </xf>
    <xf numFmtId="10" fontId="45" fillId="3" borderId="3" xfId="5" applyNumberFormat="1" applyFont="1" applyFill="1" applyBorder="1" applyAlignment="1">
      <alignment horizontal="center" vertical="center"/>
    </xf>
    <xf numFmtId="181" fontId="45" fillId="0" borderId="3" xfId="0" applyNumberFormat="1" applyFont="1" applyBorder="1" applyAlignment="1">
      <alignment horizontal="center" vertical="center" wrapText="1"/>
    </xf>
    <xf numFmtId="193" fontId="27" fillId="0" borderId="19" xfId="0" applyFont="1" applyBorder="1" applyAlignment="1">
      <alignment horizontal="center" vertical="center"/>
    </xf>
    <xf numFmtId="193" fontId="27" fillId="0" borderId="19" xfId="0" applyFont="1" applyBorder="1" applyAlignment="1">
      <alignment horizontal="left" vertical="center"/>
    </xf>
    <xf numFmtId="184" fontId="8" fillId="3" borderId="19" xfId="0" applyNumberFormat="1" applyFont="1" applyFill="1" applyBorder="1" applyAlignment="1">
      <alignment horizontal="center" vertical="center"/>
    </xf>
    <xf numFmtId="10" fontId="11" fillId="0" borderId="19" xfId="0" applyNumberFormat="1" applyFont="1" applyBorder="1" applyAlignment="1">
      <alignment horizontal="center" vertical="center"/>
    </xf>
    <xf numFmtId="193" fontId="27" fillId="0" borderId="5" xfId="0" applyFont="1" applyBorder="1" applyAlignment="1">
      <alignment horizontal="center" vertical="center"/>
    </xf>
    <xf numFmtId="193" fontId="27" fillId="0" borderId="5" xfId="0" applyFont="1" applyBorder="1" applyAlignment="1">
      <alignment horizontal="left" vertical="center"/>
    </xf>
    <xf numFmtId="193" fontId="27" fillId="0" borderId="5" xfId="0" applyFont="1" applyBorder="1">
      <alignment vertical="center"/>
    </xf>
    <xf numFmtId="43" fontId="45" fillId="0" borderId="0" xfId="1" applyFont="1" applyAlignment="1">
      <alignment horizontal="center" vertical="center"/>
    </xf>
    <xf numFmtId="193" fontId="45" fillId="0" borderId="0" xfId="0" applyFont="1" applyAlignment="1">
      <alignment horizontal="center" vertical="center"/>
    </xf>
    <xf numFmtId="184" fontId="11" fillId="0" borderId="0" xfId="0" applyNumberFormat="1" applyFont="1" applyAlignment="1">
      <alignment horizontal="center" vertical="center"/>
    </xf>
    <xf numFmtId="184" fontId="27" fillId="0" borderId="0" xfId="0" applyNumberFormat="1" applyFont="1">
      <alignment vertical="center"/>
    </xf>
    <xf numFmtId="193" fontId="19" fillId="2" borderId="0" xfId="0" applyFont="1" applyFill="1">
      <alignment vertical="center"/>
    </xf>
    <xf numFmtId="193" fontId="19" fillId="0" borderId="0" xfId="0" applyFont="1" applyAlignment="1">
      <alignment horizontal="center" vertical="center"/>
    </xf>
    <xf numFmtId="193" fontId="52" fillId="0" borderId="35" xfId="0" applyFont="1" applyBorder="1" applyAlignment="1">
      <alignment horizontal="center" vertical="center"/>
    </xf>
    <xf numFmtId="193" fontId="52" fillId="0" borderId="36" xfId="0" applyFont="1" applyBorder="1" applyAlignment="1">
      <alignment horizontal="center" vertical="center"/>
    </xf>
    <xf numFmtId="193" fontId="52" fillId="0" borderId="37" xfId="0" applyFont="1" applyBorder="1" applyAlignment="1">
      <alignment horizontal="center" vertical="center"/>
    </xf>
    <xf numFmtId="186" fontId="53" fillId="0" borderId="14" xfId="0" applyNumberFormat="1" applyFont="1" applyBorder="1" applyAlignment="1">
      <alignment horizontal="center" vertical="center"/>
    </xf>
    <xf numFmtId="193" fontId="53" fillId="0" borderId="5" xfId="0" applyFont="1" applyBorder="1" applyAlignment="1">
      <alignment horizontal="left" vertical="center"/>
    </xf>
    <xf numFmtId="43" fontId="53" fillId="0" borderId="5" xfId="0" applyNumberFormat="1" applyFont="1" applyBorder="1" applyAlignment="1">
      <alignment horizontal="left" vertical="center"/>
    </xf>
    <xf numFmtId="193" fontId="53" fillId="0" borderId="5" xfId="0" applyFont="1" applyBorder="1" applyAlignment="1">
      <alignment horizontal="center" vertical="center"/>
    </xf>
    <xf numFmtId="193" fontId="53" fillId="0" borderId="38" xfId="0" applyFont="1" applyBorder="1" applyAlignment="1">
      <alignment horizontal="left" vertical="center"/>
    </xf>
    <xf numFmtId="188" fontId="8" fillId="0" borderId="26" xfId="0" applyNumberFormat="1" applyFont="1" applyBorder="1" applyAlignment="1">
      <alignment horizontal="center" vertical="center"/>
    </xf>
    <xf numFmtId="193" fontId="10" fillId="0" borderId="5" xfId="0" applyFont="1" applyBorder="1" applyAlignment="1">
      <alignment horizontal="left" vertical="center" indent="1"/>
    </xf>
    <xf numFmtId="43" fontId="54" fillId="0" borderId="5" xfId="0" applyNumberFormat="1" applyFont="1" applyBorder="1">
      <alignment vertical="center"/>
    </xf>
    <xf numFmtId="193" fontId="54" fillId="0" borderId="5" xfId="0" applyFont="1" applyBorder="1" applyAlignment="1">
      <alignment horizontal="center" vertical="center"/>
    </xf>
    <xf numFmtId="193" fontId="54" fillId="0" borderId="38" xfId="0" applyFont="1" applyBorder="1">
      <alignment vertical="center"/>
    </xf>
    <xf numFmtId="193" fontId="12" fillId="0" borderId="5" xfId="0" applyFont="1" applyBorder="1" applyAlignment="1">
      <alignment horizontal="left" vertical="center"/>
    </xf>
    <xf numFmtId="9" fontId="53" fillId="0" borderId="38" xfId="0" applyNumberFormat="1" applyFont="1" applyBorder="1" applyAlignment="1">
      <alignment horizontal="center" vertical="center"/>
    </xf>
    <xf numFmtId="193" fontId="54" fillId="0" borderId="14" xfId="0" applyFont="1" applyBorder="1" applyAlignment="1">
      <alignment horizontal="center" vertical="center"/>
    </xf>
    <xf numFmtId="193" fontId="10" fillId="0" borderId="5" xfId="0" applyFont="1" applyBorder="1" applyAlignment="1">
      <alignment horizontal="left" vertical="center" indent="2"/>
    </xf>
    <xf numFmtId="193" fontId="54" fillId="0" borderId="26" xfId="0" applyFont="1" applyBorder="1" applyAlignment="1">
      <alignment horizontal="center" vertical="center"/>
    </xf>
    <xf numFmtId="193" fontId="10" fillId="0" borderId="5" xfId="0" applyFont="1" applyBorder="1">
      <alignment vertical="center"/>
    </xf>
    <xf numFmtId="10" fontId="54" fillId="0" borderId="5" xfId="5" applyNumberFormat="1" applyFont="1" applyFill="1" applyBorder="1">
      <alignment vertical="center"/>
    </xf>
    <xf numFmtId="188" fontId="8" fillId="2" borderId="26" xfId="0" applyNumberFormat="1" applyFont="1" applyFill="1" applyBorder="1" applyAlignment="1">
      <alignment horizontal="center" vertical="center"/>
    </xf>
    <xf numFmtId="193" fontId="10" fillId="2" borderId="5" xfId="0" applyFont="1" applyFill="1" applyBorder="1">
      <alignment vertical="center"/>
    </xf>
    <xf numFmtId="187" fontId="54" fillId="2" borderId="5" xfId="0" applyNumberFormat="1" applyFont="1" applyFill="1" applyBorder="1">
      <alignment vertical="center"/>
    </xf>
    <xf numFmtId="193" fontId="54" fillId="2" borderId="5" xfId="0" applyFont="1" applyFill="1" applyBorder="1" applyAlignment="1">
      <alignment horizontal="center" vertical="center"/>
    </xf>
    <xf numFmtId="193" fontId="54" fillId="2" borderId="38" xfId="0" applyFont="1" applyFill="1" applyBorder="1">
      <alignment vertical="center"/>
    </xf>
    <xf numFmtId="187" fontId="54" fillId="0" borderId="5" xfId="0" applyNumberFormat="1" applyFont="1" applyBorder="1">
      <alignment vertical="center"/>
    </xf>
    <xf numFmtId="10" fontId="54" fillId="0" borderId="38" xfId="0" applyNumberFormat="1" applyFont="1" applyBorder="1" applyAlignment="1">
      <alignment horizontal="center" vertical="center"/>
    </xf>
    <xf numFmtId="185" fontId="19" fillId="0" borderId="0" xfId="0" applyNumberFormat="1" applyFont="1">
      <alignment vertical="center"/>
    </xf>
    <xf numFmtId="10" fontId="54" fillId="0" borderId="38" xfId="5" applyNumberFormat="1" applyFont="1" applyFill="1" applyBorder="1" applyAlignment="1">
      <alignment horizontal="center" vertical="center"/>
    </xf>
    <xf numFmtId="187" fontId="19" fillId="0" borderId="0" xfId="0" applyNumberFormat="1" applyFont="1">
      <alignment vertical="center"/>
    </xf>
    <xf numFmtId="185" fontId="54" fillId="0" borderId="5" xfId="0" applyNumberFormat="1" applyFont="1" applyBorder="1">
      <alignment vertical="center"/>
    </xf>
    <xf numFmtId="10" fontId="19" fillId="0" borderId="0" xfId="0" applyNumberFormat="1" applyFont="1">
      <alignment vertical="center"/>
    </xf>
    <xf numFmtId="193" fontId="53" fillId="0" borderId="5" xfId="0" applyFont="1" applyBorder="1">
      <alignment vertical="center"/>
    </xf>
    <xf numFmtId="185" fontId="53" fillId="0" borderId="5" xfId="0" applyNumberFormat="1" applyFont="1" applyBorder="1">
      <alignment vertical="center"/>
    </xf>
    <xf numFmtId="193" fontId="53" fillId="0" borderId="38" xfId="0" applyFont="1" applyBorder="1">
      <alignment vertical="center"/>
    </xf>
    <xf numFmtId="196" fontId="54" fillId="0" borderId="14" xfId="0" applyNumberFormat="1" applyFont="1" applyBorder="1" applyAlignment="1">
      <alignment horizontal="center" vertical="center"/>
    </xf>
    <xf numFmtId="193" fontId="54" fillId="0" borderId="5" xfId="0" applyFont="1" applyBorder="1">
      <alignment vertical="center"/>
    </xf>
    <xf numFmtId="43" fontId="53" fillId="0" borderId="5" xfId="0" applyNumberFormat="1" applyFont="1" applyBorder="1">
      <alignment vertical="center"/>
    </xf>
    <xf numFmtId="10" fontId="54" fillId="0" borderId="38" xfId="5" applyNumberFormat="1" applyFont="1" applyFill="1" applyBorder="1">
      <alignment vertical="center"/>
    </xf>
    <xf numFmtId="186" fontId="53" fillId="2" borderId="14" xfId="0" applyNumberFormat="1" applyFont="1" applyFill="1" applyBorder="1" applyAlignment="1">
      <alignment horizontal="center" vertical="center"/>
    </xf>
    <xf numFmtId="10" fontId="54" fillId="2" borderId="5" xfId="5" applyNumberFormat="1" applyFont="1" applyFill="1" applyBorder="1">
      <alignment vertical="center"/>
    </xf>
    <xf numFmtId="186" fontId="53" fillId="2" borderId="0" xfId="0" applyNumberFormat="1" applyFont="1" applyFill="1" applyAlignment="1">
      <alignment horizontal="center" vertical="center"/>
    </xf>
    <xf numFmtId="193" fontId="10" fillId="2" borderId="0" xfId="0" applyFont="1" applyFill="1">
      <alignment vertical="center"/>
    </xf>
    <xf numFmtId="10" fontId="54" fillId="2" borderId="0" xfId="5" applyNumberFormat="1" applyFont="1" applyFill="1" applyBorder="1">
      <alignment vertical="center"/>
    </xf>
    <xf numFmtId="193" fontId="54" fillId="2" borderId="0" xfId="0" applyFont="1" applyFill="1" applyAlignment="1">
      <alignment horizontal="center" vertical="center"/>
    </xf>
    <xf numFmtId="193" fontId="54" fillId="2" borderId="0" xfId="0" applyFont="1" applyFill="1">
      <alignment vertical="center"/>
    </xf>
    <xf numFmtId="193" fontId="11" fillId="0" borderId="5" xfId="0" applyFont="1" applyBorder="1" applyAlignment="1">
      <alignment horizontal="center" vertical="center"/>
    </xf>
    <xf numFmtId="43" fontId="8" fillId="0" borderId="5" xfId="0" applyNumberFormat="1" applyFont="1" applyBorder="1" applyAlignment="1">
      <alignment horizontal="right" vertical="center"/>
    </xf>
    <xf numFmtId="193" fontId="8" fillId="0" borderId="5" xfId="0" applyFont="1" applyBorder="1">
      <alignment vertical="center"/>
    </xf>
    <xf numFmtId="9" fontId="8" fillId="0" borderId="5" xfId="5" applyFont="1" applyFill="1" applyBorder="1" applyAlignment="1">
      <alignment vertical="center"/>
    </xf>
    <xf numFmtId="193" fontId="10" fillId="0" borderId="5" xfId="0" applyFont="1" applyBorder="1" applyAlignment="1">
      <alignment horizontal="left" vertical="center"/>
    </xf>
    <xf numFmtId="193" fontId="11" fillId="0" borderId="5" xfId="0" applyFont="1" applyBorder="1">
      <alignment vertical="center"/>
    </xf>
    <xf numFmtId="193" fontId="12" fillId="0" borderId="5" xfId="0" applyFont="1" applyBorder="1">
      <alignment vertical="center"/>
    </xf>
    <xf numFmtId="10" fontId="8" fillId="0" borderId="5" xfId="21" applyNumberFormat="1" applyFont="1" applyFill="1" applyBorder="1" applyAlignment="1">
      <alignment vertical="center"/>
    </xf>
    <xf numFmtId="43" fontId="8" fillId="0" borderId="5" xfId="1" applyFont="1" applyFill="1" applyBorder="1" applyAlignment="1">
      <alignment vertical="center"/>
    </xf>
    <xf numFmtId="178" fontId="69" fillId="0" borderId="3" xfId="30" applyNumberFormat="1" applyFont="1" applyBorder="1" applyAlignment="1">
      <alignment horizontal="center" vertical="center" wrapText="1"/>
    </xf>
    <xf numFmtId="186" fontId="10" fillId="0" borderId="3" xfId="0" applyNumberFormat="1" applyFont="1" applyBorder="1">
      <alignment vertical="center"/>
    </xf>
    <xf numFmtId="193" fontId="10" fillId="0" borderId="3" xfId="0" applyFont="1" applyBorder="1">
      <alignment vertical="center"/>
    </xf>
    <xf numFmtId="193" fontId="69" fillId="0" borderId="3" xfId="30" applyFont="1" applyBorder="1" applyAlignment="1">
      <alignment horizontal="center" vertical="center"/>
    </xf>
    <xf numFmtId="178" fontId="69" fillId="0" borderId="3" xfId="30" applyNumberFormat="1" applyFont="1" applyBorder="1" applyAlignment="1">
      <alignment horizontal="center" vertical="center"/>
    </xf>
    <xf numFmtId="178" fontId="73" fillId="0" borderId="3" xfId="30" applyNumberFormat="1" applyFont="1" applyBorder="1" applyAlignment="1">
      <alignment horizontal="left" vertical="center" wrapText="1"/>
    </xf>
    <xf numFmtId="178" fontId="73" fillId="0" borderId="3" xfId="30" applyNumberFormat="1" applyFont="1" applyBorder="1" applyAlignment="1">
      <alignment horizontal="center" vertical="center" wrapText="1"/>
    </xf>
    <xf numFmtId="185" fontId="69" fillId="0" borderId="3" xfId="1" applyNumberFormat="1" applyFont="1" applyFill="1" applyBorder="1" applyAlignment="1">
      <alignment horizontal="center" vertical="center" wrapText="1"/>
    </xf>
    <xf numFmtId="178" fontId="74" fillId="0" borderId="0" xfId="30" applyNumberFormat="1" applyFont="1">
      <alignment vertical="center"/>
    </xf>
    <xf numFmtId="185" fontId="74" fillId="0" borderId="0" xfId="1" applyNumberFormat="1" applyFont="1">
      <alignment vertical="center"/>
    </xf>
    <xf numFmtId="187" fontId="10" fillId="3" borderId="0" xfId="0" applyNumberFormat="1" applyFont="1" applyFill="1" applyAlignment="1">
      <alignment horizontal="center" vertical="center"/>
    </xf>
    <xf numFmtId="43" fontId="8" fillId="3" borderId="0" xfId="1" applyFont="1" applyFill="1">
      <alignment vertical="center"/>
    </xf>
    <xf numFmtId="178" fontId="50" fillId="0" borderId="3" xfId="30" applyNumberFormat="1" applyFont="1" applyBorder="1" applyAlignment="1">
      <alignment horizontal="left" vertical="center" wrapText="1"/>
    </xf>
    <xf numFmtId="178" fontId="71" fillId="0" borderId="3" xfId="30" applyNumberFormat="1" applyFont="1" applyBorder="1" applyAlignment="1">
      <alignment horizontal="left" vertical="center" wrapText="1"/>
    </xf>
    <xf numFmtId="194" fontId="12" fillId="0" borderId="0" xfId="0" applyNumberFormat="1" applyFont="1" applyAlignment="1">
      <alignment horizontal="center" vertical="center"/>
    </xf>
    <xf numFmtId="194" fontId="12" fillId="0" borderId="0" xfId="0" applyNumberFormat="1" applyFont="1" applyAlignment="1">
      <alignment horizontal="left" vertical="center"/>
    </xf>
    <xf numFmtId="192" fontId="12" fillId="0" borderId="0" xfId="0" applyNumberFormat="1" applyFont="1" applyAlignment="1">
      <alignment horizontal="left" vertical="center"/>
    </xf>
    <xf numFmtId="9" fontId="27" fillId="0" borderId="5" xfId="5" applyFont="1" applyBorder="1">
      <alignment vertical="center"/>
    </xf>
    <xf numFmtId="9" fontId="27" fillId="0" borderId="5" xfId="5" applyFont="1" applyBorder="1" applyAlignment="1">
      <alignment horizontal="right" vertical="center"/>
    </xf>
    <xf numFmtId="178" fontId="0" fillId="0" borderId="3" xfId="30" applyNumberFormat="1" applyFont="1" applyBorder="1">
      <alignment vertical="center"/>
    </xf>
    <xf numFmtId="43" fontId="70" fillId="0" borderId="3" xfId="1" applyFont="1" applyBorder="1" applyAlignment="1">
      <alignment horizontal="center" vertical="center" wrapText="1"/>
    </xf>
    <xf numFmtId="178" fontId="50" fillId="0" borderId="3" xfId="30" applyNumberFormat="1" applyFont="1" applyBorder="1" applyAlignment="1">
      <alignment horizontal="center" vertical="center" wrapText="1"/>
    </xf>
    <xf numFmtId="10" fontId="69" fillId="0" borderId="3" xfId="5" applyNumberFormat="1" applyFont="1" applyFill="1" applyBorder="1" applyAlignment="1">
      <alignment horizontal="center" vertical="center" wrapText="1"/>
    </xf>
    <xf numFmtId="49" fontId="69" fillId="0" borderId="3" xfId="1" applyNumberFormat="1" applyFont="1" applyFill="1" applyBorder="1" applyAlignment="1">
      <alignment horizontal="left" vertical="center" wrapText="1"/>
    </xf>
    <xf numFmtId="49" fontId="74" fillId="0" borderId="0" xfId="1" applyNumberFormat="1" applyFont="1" applyAlignment="1">
      <alignment horizontal="left" vertical="center"/>
    </xf>
    <xf numFmtId="193" fontId="40" fillId="0" borderId="3" xfId="30" applyBorder="1">
      <alignment vertical="center"/>
    </xf>
    <xf numFmtId="43" fontId="27" fillId="0" borderId="0" xfId="1" applyFont="1">
      <alignment vertical="center"/>
    </xf>
    <xf numFmtId="193" fontId="76" fillId="0" borderId="0" xfId="0" applyFont="1" applyAlignment="1">
      <alignment horizontal="left" vertical="center" wrapText="1"/>
    </xf>
    <xf numFmtId="193" fontId="47" fillId="0" borderId="0" xfId="7" applyFont="1">
      <alignment vertical="center"/>
    </xf>
    <xf numFmtId="193" fontId="21" fillId="0" borderId="0" xfId="7" applyFont="1">
      <alignment vertical="center"/>
    </xf>
    <xf numFmtId="200" fontId="12" fillId="0" borderId="3" xfId="7" applyNumberFormat="1" applyFont="1" applyBorder="1" applyAlignment="1">
      <alignment horizontal="center" vertical="center"/>
    </xf>
    <xf numFmtId="193" fontId="12" fillId="0" borderId="3" xfId="7" applyFont="1" applyBorder="1">
      <alignment vertical="center"/>
    </xf>
    <xf numFmtId="193" fontId="27" fillId="0" borderId="0" xfId="7" applyFont="1">
      <alignment vertical="center"/>
    </xf>
    <xf numFmtId="201" fontId="10" fillId="0" borderId="3" xfId="7" applyNumberFormat="1" applyFont="1" applyBorder="1" applyAlignment="1">
      <alignment horizontal="center" vertical="center"/>
    </xf>
    <xf numFmtId="193" fontId="10" fillId="0" borderId="3" xfId="7" applyFont="1" applyBorder="1" applyAlignment="1">
      <alignment vertical="center" wrapText="1"/>
    </xf>
    <xf numFmtId="193" fontId="26" fillId="0" borderId="3" xfId="7" applyFont="1" applyBorder="1">
      <alignment vertical="center"/>
    </xf>
    <xf numFmtId="193" fontId="10" fillId="0" borderId="3" xfId="7" applyFont="1" applyBorder="1" applyAlignment="1">
      <alignment horizontal="left" vertical="center" indent="1"/>
    </xf>
    <xf numFmtId="200" fontId="10" fillId="0" borderId="3" xfId="7" applyNumberFormat="1" applyFont="1" applyBorder="1" applyAlignment="1">
      <alignment horizontal="center" vertical="center"/>
    </xf>
    <xf numFmtId="200" fontId="8" fillId="0" borderId="0" xfId="7" applyNumberFormat="1" applyFont="1" applyAlignment="1">
      <alignment horizontal="center" vertical="center"/>
    </xf>
    <xf numFmtId="187" fontId="8" fillId="0" borderId="0" xfId="7" applyNumberFormat="1" applyFont="1">
      <alignment vertical="center"/>
    </xf>
    <xf numFmtId="193" fontId="10" fillId="0" borderId="0" xfId="7" applyFont="1">
      <alignment vertical="center"/>
    </xf>
    <xf numFmtId="193" fontId="21" fillId="0" borderId="48" xfId="7" applyFont="1" applyBorder="1">
      <alignment vertical="center"/>
    </xf>
    <xf numFmtId="10" fontId="8" fillId="0" borderId="48" xfId="7" applyNumberFormat="1" applyFont="1" applyBorder="1" applyAlignment="1">
      <alignment horizontal="center" vertical="center"/>
    </xf>
    <xf numFmtId="10" fontId="8" fillId="0" borderId="0" xfId="5" applyNumberFormat="1" applyFont="1">
      <alignment vertical="center"/>
    </xf>
    <xf numFmtId="195" fontId="39" fillId="0" borderId="0" xfId="30" applyNumberFormat="1" applyFont="1" applyAlignment="1">
      <alignment horizontal="center" vertical="center"/>
    </xf>
    <xf numFmtId="187" fontId="8" fillId="0" borderId="5" xfId="7" applyNumberFormat="1" applyFont="1" applyBorder="1" applyAlignment="1">
      <alignment horizontal="left" vertical="center"/>
    </xf>
    <xf numFmtId="187" fontId="8" fillId="0" borderId="5" xfId="7" applyNumberFormat="1" applyFont="1" applyBorder="1" applyAlignment="1">
      <alignment horizontal="center" vertical="center"/>
    </xf>
    <xf numFmtId="193" fontId="11" fillId="0" borderId="0" xfId="7" applyFont="1" applyAlignment="1">
      <alignment horizontal="center" vertical="center"/>
    </xf>
    <xf numFmtId="10" fontId="11" fillId="0" borderId="0" xfId="5" applyNumberFormat="1" applyFont="1" applyAlignment="1">
      <alignment horizontal="center" vertical="center"/>
    </xf>
    <xf numFmtId="187" fontId="77" fillId="0" borderId="5" xfId="7" applyNumberFormat="1" applyFont="1" applyBorder="1" applyAlignment="1">
      <alignment horizontal="left" vertical="center"/>
    </xf>
    <xf numFmtId="199" fontId="8" fillId="0" borderId="0" xfId="5" applyNumberFormat="1" applyFont="1" applyFill="1" applyBorder="1" applyAlignment="1" applyProtection="1">
      <alignment horizontal="center" vertical="center"/>
    </xf>
    <xf numFmtId="193" fontId="38" fillId="0" borderId="48" xfId="7" applyFont="1" applyBorder="1">
      <alignment vertical="center"/>
    </xf>
    <xf numFmtId="10" fontId="11" fillId="0" borderId="48" xfId="7" applyNumberFormat="1" applyFont="1" applyBorder="1" applyAlignment="1">
      <alignment horizontal="center" vertical="center"/>
    </xf>
    <xf numFmtId="187" fontId="11" fillId="0" borderId="0" xfId="7" applyNumberFormat="1" applyFont="1" applyAlignment="1">
      <alignment horizontal="center" vertical="center"/>
    </xf>
    <xf numFmtId="10" fontId="8" fillId="0" borderId="5" xfId="5" applyNumberFormat="1" applyFont="1" applyFill="1" applyBorder="1" applyAlignment="1">
      <alignment horizontal="center" vertical="center"/>
    </xf>
    <xf numFmtId="193" fontId="11" fillId="0" borderId="23" xfId="0" applyFont="1" applyBorder="1" applyAlignment="1">
      <alignment horizontal="center" vertical="center"/>
    </xf>
    <xf numFmtId="193" fontId="11" fillId="0" borderId="28" xfId="0" applyFont="1" applyBorder="1" applyAlignment="1">
      <alignment horizontal="center" vertical="center"/>
    </xf>
    <xf numFmtId="186" fontId="11" fillId="0" borderId="23" xfId="0" applyNumberFormat="1" applyFont="1" applyBorder="1" applyAlignment="1">
      <alignment horizontal="left" vertical="center"/>
    </xf>
    <xf numFmtId="188" fontId="8" fillId="0" borderId="23" xfId="0" applyNumberFormat="1" applyFont="1" applyBorder="1" applyAlignment="1">
      <alignment horizontal="left" vertical="center"/>
    </xf>
    <xf numFmtId="187" fontId="11" fillId="0" borderId="23" xfId="0" applyNumberFormat="1" applyFont="1" applyBorder="1" applyAlignment="1">
      <alignment horizontal="left" vertical="center"/>
    </xf>
    <xf numFmtId="196" fontId="8" fillId="0" borderId="23" xfId="0" applyNumberFormat="1" applyFont="1" applyBorder="1" applyAlignment="1">
      <alignment horizontal="left" vertical="center"/>
    </xf>
    <xf numFmtId="193" fontId="8" fillId="0" borderId="23" xfId="0" applyFont="1" applyBorder="1" applyAlignment="1">
      <alignment horizontal="left" vertical="center"/>
    </xf>
    <xf numFmtId="193" fontId="10" fillId="0" borderId="28" xfId="0" applyFont="1" applyBorder="1" applyAlignment="1">
      <alignment horizontal="left" vertical="center"/>
    </xf>
    <xf numFmtId="193" fontId="56" fillId="0" borderId="28" xfId="0" applyFont="1" applyBorder="1" applyAlignment="1">
      <alignment horizontal="left" vertical="center"/>
    </xf>
    <xf numFmtId="193" fontId="11" fillId="0" borderId="28" xfId="0" applyFont="1" applyBorder="1" applyAlignment="1">
      <alignment horizontal="left" vertical="center"/>
    </xf>
    <xf numFmtId="196" fontId="10" fillId="0" borderId="49" xfId="0" applyNumberFormat="1" applyFont="1" applyBorder="1" applyAlignment="1">
      <alignment horizontal="left" vertical="center"/>
    </xf>
    <xf numFmtId="49" fontId="8" fillId="0" borderId="23" xfId="0" applyNumberFormat="1" applyFont="1" applyBorder="1" applyAlignment="1">
      <alignment horizontal="left" vertical="center"/>
    </xf>
    <xf numFmtId="196" fontId="8" fillId="0" borderId="44" xfId="0" applyNumberFormat="1" applyFont="1" applyBorder="1" applyAlignment="1">
      <alignment horizontal="left" vertical="center"/>
    </xf>
    <xf numFmtId="193" fontId="10" fillId="0" borderId="32" xfId="0" applyFont="1" applyBorder="1" applyAlignment="1">
      <alignment horizontal="left" vertical="center" indent="1"/>
    </xf>
    <xf numFmtId="10" fontId="8" fillId="0" borderId="32" xfId="21" applyNumberFormat="1" applyFont="1" applyFill="1" applyBorder="1" applyAlignment="1">
      <alignment vertical="center"/>
    </xf>
    <xf numFmtId="196" fontId="10" fillId="0" borderId="26" xfId="0" applyNumberFormat="1" applyFont="1" applyBorder="1" applyAlignment="1">
      <alignment horizontal="center" vertical="center"/>
    </xf>
    <xf numFmtId="196" fontId="78" fillId="0" borderId="49" xfId="0" applyNumberFormat="1" applyFont="1" applyBorder="1" applyAlignment="1">
      <alignment horizontal="left" vertical="center"/>
    </xf>
    <xf numFmtId="193" fontId="12" fillId="0" borderId="5" xfId="0" applyFont="1" applyBorder="1" applyAlignment="1">
      <alignment horizontal="center" vertical="center"/>
    </xf>
    <xf numFmtId="193" fontId="46" fillId="0" borderId="3" xfId="32" applyFont="1" applyBorder="1" applyAlignment="1">
      <alignment horizontal="left" vertical="center" wrapText="1"/>
    </xf>
    <xf numFmtId="193" fontId="1" fillId="0" borderId="3" xfId="32" applyFont="1" applyBorder="1" applyAlignment="1">
      <alignment horizontal="left" vertical="center" wrapText="1"/>
    </xf>
    <xf numFmtId="193" fontId="1" fillId="0" borderId="3" xfId="0" applyFont="1" applyBorder="1" applyAlignment="1">
      <alignment horizontal="left" vertical="center" wrapText="1"/>
    </xf>
    <xf numFmtId="193" fontId="27" fillId="0" borderId="3" xfId="0" applyFont="1" applyBorder="1" applyAlignment="1">
      <alignment horizontal="left" vertical="center"/>
    </xf>
    <xf numFmtId="193" fontId="45" fillId="0" borderId="3" xfId="0" applyFont="1" applyBorder="1" applyAlignment="1">
      <alignment horizontal="left" vertical="center"/>
    </xf>
    <xf numFmtId="10" fontId="8" fillId="0" borderId="5" xfId="1" applyNumberFormat="1" applyFont="1" applyFill="1" applyBorder="1" applyAlignment="1">
      <alignment vertical="center"/>
    </xf>
    <xf numFmtId="43" fontId="75" fillId="0" borderId="3" xfId="1" applyFont="1" applyBorder="1" applyAlignment="1">
      <alignment horizontal="center" vertical="center" wrapText="1"/>
    </xf>
    <xf numFmtId="43" fontId="69" fillId="0" borderId="3" xfId="1" applyFont="1" applyFill="1" applyBorder="1" applyAlignment="1">
      <alignment horizontal="center" vertical="center" wrapText="1"/>
    </xf>
    <xf numFmtId="43" fontId="10" fillId="0" borderId="3" xfId="1" applyFont="1" applyBorder="1" applyAlignment="1">
      <alignment horizontal="center" vertical="center"/>
    </xf>
    <xf numFmtId="193" fontId="8" fillId="0" borderId="28" xfId="0" applyFont="1" applyBorder="1" applyAlignment="1">
      <alignment horizontal="left" vertical="center"/>
    </xf>
    <xf numFmtId="9" fontId="8" fillId="0" borderId="28" xfId="0" applyNumberFormat="1" applyFont="1" applyBorder="1" applyAlignment="1">
      <alignment horizontal="left" vertical="center"/>
    </xf>
    <xf numFmtId="10" fontId="11" fillId="0" borderId="28" xfId="0" applyNumberFormat="1" applyFont="1" applyBorder="1" applyAlignment="1">
      <alignment horizontal="left" vertical="center"/>
    </xf>
    <xf numFmtId="10" fontId="8" fillId="0" borderId="28" xfId="21" applyNumberFormat="1" applyFont="1" applyFill="1" applyBorder="1" applyAlignment="1">
      <alignment horizontal="left" vertical="center"/>
    </xf>
    <xf numFmtId="10" fontId="57" fillId="0" borderId="28" xfId="21" applyNumberFormat="1" applyFont="1" applyFill="1" applyBorder="1" applyAlignment="1">
      <alignment horizontal="left" vertical="center"/>
    </xf>
    <xf numFmtId="10" fontId="10" fillId="0" borderId="28" xfId="21" applyNumberFormat="1" applyFont="1" applyFill="1" applyBorder="1" applyAlignment="1">
      <alignment horizontal="left" vertical="center"/>
    </xf>
    <xf numFmtId="196" fontId="8" fillId="0" borderId="49" xfId="0" applyNumberFormat="1" applyFont="1" applyBorder="1" applyAlignment="1">
      <alignment horizontal="left" vertical="center"/>
    </xf>
    <xf numFmtId="196" fontId="8" fillId="0" borderId="50" xfId="0" applyNumberFormat="1" applyFont="1" applyBorder="1" applyAlignment="1">
      <alignment horizontal="left" vertical="center"/>
    </xf>
    <xf numFmtId="193" fontId="40" fillId="0" borderId="3" xfId="30" applyBorder="1" applyAlignment="1">
      <alignment horizontal="center" vertical="center"/>
    </xf>
    <xf numFmtId="43" fontId="40" fillId="0" borderId="3" xfId="1" applyFont="1" applyBorder="1">
      <alignment vertical="center"/>
    </xf>
    <xf numFmtId="10" fontId="40" fillId="0" borderId="3" xfId="5" applyNumberFormat="1" applyFont="1" applyBorder="1" applyAlignment="1">
      <alignment horizontal="center" vertical="center"/>
    </xf>
    <xf numFmtId="193" fontId="39" fillId="0" borderId="3" xfId="30" applyFont="1" applyBorder="1">
      <alignment vertical="center"/>
    </xf>
    <xf numFmtId="193" fontId="40" fillId="0" borderId="3" xfId="30" applyBorder="1" applyAlignment="1">
      <alignment horizontal="left" vertical="center"/>
    </xf>
    <xf numFmtId="178" fontId="69" fillId="3" borderId="3" xfId="30" applyNumberFormat="1" applyFont="1" applyFill="1" applyBorder="1" applyAlignment="1">
      <alignment horizontal="center" vertical="center" wrapText="1"/>
    </xf>
    <xf numFmtId="192" fontId="12" fillId="3" borderId="3" xfId="7" applyNumberFormat="1" applyFont="1" applyFill="1" applyBorder="1" applyAlignment="1">
      <alignment horizontal="center" vertical="center"/>
    </xf>
    <xf numFmtId="193" fontId="12" fillId="3" borderId="3" xfId="7" applyFont="1" applyFill="1" applyBorder="1">
      <alignment vertical="center"/>
    </xf>
    <xf numFmtId="187" fontId="8" fillId="3" borderId="16" xfId="0" applyNumberFormat="1" applyFont="1" applyFill="1" applyBorder="1">
      <alignment vertical="center"/>
    </xf>
    <xf numFmtId="187" fontId="8" fillId="3" borderId="17" xfId="0" applyNumberFormat="1" applyFont="1" applyFill="1" applyBorder="1">
      <alignment vertical="center"/>
    </xf>
    <xf numFmtId="193" fontId="1" fillId="0" borderId="30" xfId="0" applyFont="1" applyBorder="1">
      <alignment vertical="center"/>
    </xf>
    <xf numFmtId="187" fontId="8" fillId="3" borderId="30" xfId="0" applyNumberFormat="1" applyFont="1" applyFill="1" applyBorder="1">
      <alignment vertical="center"/>
    </xf>
    <xf numFmtId="187" fontId="8" fillId="3" borderId="11" xfId="0" applyNumberFormat="1" applyFont="1" applyFill="1" applyBorder="1">
      <alignment vertical="center"/>
    </xf>
    <xf numFmtId="187" fontId="8" fillId="3" borderId="12" xfId="0" applyNumberFormat="1" applyFont="1" applyFill="1" applyBorder="1">
      <alignment vertical="center"/>
    </xf>
    <xf numFmtId="43" fontId="39" fillId="0" borderId="3" xfId="1" applyFont="1" applyBorder="1">
      <alignment vertical="center"/>
    </xf>
    <xf numFmtId="196" fontId="4" fillId="0" borderId="3" xfId="1" applyNumberFormat="1" applyFont="1" applyBorder="1" applyAlignment="1">
      <alignment horizontal="left" vertical="center"/>
    </xf>
    <xf numFmtId="196" fontId="3" fillId="0" borderId="3" xfId="1" applyNumberFormat="1" applyFont="1" applyBorder="1" applyAlignment="1">
      <alignment horizontal="left" vertical="center"/>
    </xf>
    <xf numFmtId="10" fontId="8" fillId="0" borderId="0" xfId="7" applyNumberFormat="1" applyFont="1" applyAlignment="1">
      <alignment horizontal="center" vertical="center"/>
    </xf>
    <xf numFmtId="199" fontId="8" fillId="0" borderId="52" xfId="5" applyNumberFormat="1" applyFont="1" applyFill="1" applyBorder="1" applyAlignment="1" applyProtection="1">
      <alignment horizontal="center" vertical="center"/>
    </xf>
    <xf numFmtId="43" fontId="8" fillId="0" borderId="23" xfId="0" applyNumberFormat="1" applyFont="1" applyBorder="1">
      <alignment vertical="center"/>
    </xf>
    <xf numFmtId="196" fontId="8" fillId="0" borderId="5" xfId="0" applyNumberFormat="1" applyFont="1" applyBorder="1" applyAlignment="1">
      <alignment horizontal="left" vertical="center"/>
    </xf>
    <xf numFmtId="196" fontId="8" fillId="0" borderId="28" xfId="0" applyNumberFormat="1" applyFont="1" applyBorder="1" applyAlignment="1">
      <alignment horizontal="left" vertical="center"/>
    </xf>
    <xf numFmtId="193" fontId="45" fillId="0" borderId="23" xfId="0" applyFont="1" applyBorder="1" applyAlignment="1">
      <alignment horizontal="center" vertical="center"/>
    </xf>
    <xf numFmtId="193" fontId="45" fillId="0" borderId="5" xfId="0" applyFont="1" applyBorder="1" applyAlignment="1">
      <alignment horizontal="center" vertical="center"/>
    </xf>
    <xf numFmtId="193" fontId="45" fillId="0" borderId="28" xfId="0" applyFont="1" applyBorder="1" applyAlignment="1">
      <alignment horizontal="center" vertical="center"/>
    </xf>
    <xf numFmtId="193" fontId="45" fillId="0" borderId="5" xfId="0" applyFont="1" applyBorder="1">
      <alignment vertical="center"/>
    </xf>
    <xf numFmtId="193" fontId="27" fillId="0" borderId="28" xfId="0" applyFont="1" applyBorder="1">
      <alignment vertical="center"/>
    </xf>
    <xf numFmtId="193" fontId="27" fillId="0" borderId="23" xfId="0" applyFont="1" applyBorder="1">
      <alignment vertical="center"/>
    </xf>
    <xf numFmtId="43" fontId="27" fillId="0" borderId="5" xfId="1" applyFont="1" applyBorder="1">
      <alignment vertical="center"/>
    </xf>
    <xf numFmtId="193" fontId="27" fillId="0" borderId="5" xfId="1" applyNumberFormat="1" applyFont="1" applyBorder="1">
      <alignment vertical="center"/>
    </xf>
    <xf numFmtId="10" fontId="27" fillId="0" borderId="5" xfId="5" applyNumberFormat="1" applyFont="1" applyBorder="1">
      <alignment vertical="center"/>
    </xf>
    <xf numFmtId="43" fontId="8" fillId="0" borderId="5" xfId="1" applyFont="1" applyBorder="1" applyAlignment="1">
      <alignment horizontal="left" vertical="center"/>
    </xf>
    <xf numFmtId="178" fontId="8" fillId="0" borderId="5" xfId="1" applyNumberFormat="1" applyFont="1" applyFill="1" applyBorder="1" applyAlignment="1">
      <alignment horizontal="center" vertical="center"/>
    </xf>
    <xf numFmtId="43" fontId="27" fillId="0" borderId="28" xfId="1" applyFont="1" applyBorder="1">
      <alignment vertical="center"/>
    </xf>
    <xf numFmtId="193" fontId="38" fillId="0" borderId="0" xfId="7" applyFont="1">
      <alignment vertical="center"/>
    </xf>
    <xf numFmtId="10" fontId="11" fillId="0" borderId="0" xfId="7" applyNumberFormat="1" applyFont="1" applyAlignment="1">
      <alignment horizontal="center" vertical="center"/>
    </xf>
    <xf numFmtId="187" fontId="8" fillId="0" borderId="36" xfId="7" applyNumberFormat="1" applyFont="1" applyBorder="1" applyAlignment="1">
      <alignment horizontal="left" vertical="center"/>
    </xf>
    <xf numFmtId="10" fontId="8" fillId="0" borderId="36" xfId="5" applyNumberFormat="1" applyFont="1" applyFill="1" applyBorder="1" applyAlignment="1">
      <alignment horizontal="center" vertical="center"/>
    </xf>
    <xf numFmtId="187" fontId="77" fillId="0" borderId="15" xfId="7" applyNumberFormat="1" applyFont="1" applyBorder="1" applyAlignment="1">
      <alignment horizontal="left" vertical="center"/>
    </xf>
    <xf numFmtId="187" fontId="8" fillId="0" borderId="15" xfId="7" applyNumberFormat="1" applyFont="1" applyBorder="1" applyAlignment="1">
      <alignment horizontal="center" vertical="center"/>
    </xf>
    <xf numFmtId="196" fontId="10" fillId="0" borderId="5" xfId="0" applyNumberFormat="1" applyFont="1" applyBorder="1" applyAlignment="1">
      <alignment horizontal="left" vertical="center"/>
    </xf>
    <xf numFmtId="10" fontId="8" fillId="0" borderId="5" xfId="5" applyNumberFormat="1" applyFont="1" applyBorder="1" applyAlignment="1">
      <alignment horizontal="right" vertical="center"/>
    </xf>
    <xf numFmtId="196" fontId="10" fillId="0" borderId="28" xfId="0" applyNumberFormat="1" applyFont="1" applyBorder="1" applyAlignment="1">
      <alignment horizontal="left" vertical="center"/>
    </xf>
    <xf numFmtId="10" fontId="10" fillId="0" borderId="5" xfId="21" applyNumberFormat="1" applyFont="1" applyFill="1" applyBorder="1">
      <alignment vertical="center"/>
    </xf>
    <xf numFmtId="196" fontId="10" fillId="0" borderId="26" xfId="0" applyNumberFormat="1" applyFont="1" applyBorder="1" applyAlignment="1">
      <alignment horizontal="left" vertical="center"/>
    </xf>
    <xf numFmtId="196" fontId="10" fillId="0" borderId="31" xfId="0" applyNumberFormat="1" applyFont="1" applyBorder="1" applyAlignment="1">
      <alignment horizontal="center" vertical="center"/>
    </xf>
    <xf numFmtId="10" fontId="78" fillId="0" borderId="28" xfId="21" applyNumberFormat="1" applyFont="1" applyFill="1" applyBorder="1" applyAlignment="1">
      <alignment horizontal="left" vertical="center"/>
    </xf>
    <xf numFmtId="9" fontId="10" fillId="0" borderId="28" xfId="5" applyFont="1" applyBorder="1" applyAlignment="1">
      <alignment horizontal="left" vertical="center"/>
    </xf>
    <xf numFmtId="49" fontId="3" fillId="0" borderId="3" xfId="1" applyNumberFormat="1" applyFont="1" applyBorder="1" applyAlignment="1">
      <alignment horizontal="left" vertical="center"/>
    </xf>
    <xf numFmtId="9" fontId="78" fillId="0" borderId="28" xfId="5" applyFont="1" applyBorder="1" applyAlignment="1">
      <alignment horizontal="left" vertical="center"/>
    </xf>
    <xf numFmtId="187" fontId="24" fillId="3" borderId="0" xfId="0" applyNumberFormat="1" applyFont="1" applyFill="1" applyAlignment="1">
      <alignment horizontal="left" vertical="center"/>
    </xf>
    <xf numFmtId="187" fontId="18" fillId="3" borderId="0" xfId="0" applyNumberFormat="1" applyFont="1" applyFill="1" applyAlignment="1">
      <alignment horizontal="left" vertical="center"/>
    </xf>
    <xf numFmtId="193" fontId="9" fillId="0" borderId="0" xfId="7" applyFont="1" applyAlignment="1">
      <alignment horizontal="left" vertical="center"/>
    </xf>
    <xf numFmtId="177" fontId="2" fillId="0" borderId="0" xfId="38" applyNumberFormat="1" applyFont="1" applyAlignment="1">
      <alignment horizontal="left" vertical="center"/>
    </xf>
    <xf numFmtId="178" fontId="72" fillId="0" borderId="0" xfId="30" applyNumberFormat="1" applyFont="1" applyAlignment="1">
      <alignment horizontal="left" vertical="center"/>
    </xf>
    <xf numFmtId="191" fontId="42" fillId="0" borderId="0" xfId="47" applyNumberFormat="1" applyFont="1" applyAlignment="1">
      <alignment horizontal="center" vertical="center"/>
    </xf>
    <xf numFmtId="192" fontId="69" fillId="0" borderId="0" xfId="30" applyNumberFormat="1" applyFont="1" applyAlignment="1">
      <alignment horizontal="left" vertical="center"/>
    </xf>
    <xf numFmtId="191" fontId="7" fillId="0" borderId="0" xfId="0" applyNumberFormat="1" applyFont="1">
      <alignment vertical="center"/>
    </xf>
    <xf numFmtId="187" fontId="9" fillId="3" borderId="0" xfId="0" applyNumberFormat="1" applyFont="1" applyFill="1" applyAlignment="1">
      <alignment horizontal="left" vertical="center"/>
    </xf>
    <xf numFmtId="187" fontId="9" fillId="0" borderId="0" xfId="0" applyNumberFormat="1" applyFont="1" applyAlignment="1">
      <alignment horizontal="left" vertical="center"/>
    </xf>
    <xf numFmtId="10" fontId="83" fillId="0" borderId="28" xfId="21" applyNumberFormat="1" applyFont="1" applyFill="1" applyBorder="1" applyAlignment="1">
      <alignment horizontal="left" vertical="center"/>
    </xf>
    <xf numFmtId="178" fontId="40" fillId="0" borderId="0" xfId="35" applyNumberFormat="1"/>
    <xf numFmtId="186" fontId="40" fillId="0" borderId="0" xfId="35" applyNumberFormat="1"/>
    <xf numFmtId="178" fontId="0" fillId="0" borderId="0" xfId="0" applyNumberFormat="1">
      <alignment vertical="center"/>
    </xf>
    <xf numFmtId="178" fontId="0" fillId="0" borderId="3" xfId="0" applyNumberFormat="1" applyBorder="1">
      <alignment vertical="center"/>
    </xf>
    <xf numFmtId="9" fontId="8" fillId="0" borderId="5" xfId="1" applyNumberFormat="1" applyFont="1" applyFill="1" applyBorder="1" applyAlignment="1">
      <alignment vertical="center"/>
    </xf>
    <xf numFmtId="49" fontId="84" fillId="0" borderId="0" xfId="1" applyNumberFormat="1" applyFont="1" applyAlignment="1">
      <alignment horizontal="left" vertical="center" wrapText="1"/>
    </xf>
    <xf numFmtId="191" fontId="10" fillId="0" borderId="3" xfId="0" applyNumberFormat="1" applyFont="1" applyBorder="1">
      <alignment vertical="center"/>
    </xf>
    <xf numFmtId="191" fontId="8" fillId="0" borderId="3" xfId="0" applyNumberFormat="1" applyFont="1" applyBorder="1">
      <alignment vertical="center"/>
    </xf>
    <xf numFmtId="191" fontId="10" fillId="0" borderId="3" xfId="0" applyNumberFormat="1" applyFont="1" applyBorder="1" applyAlignment="1">
      <alignment vertical="center" wrapText="1"/>
    </xf>
    <xf numFmtId="193" fontId="25" fillId="0" borderId="1" xfId="0" applyFont="1" applyBorder="1">
      <alignment vertical="center"/>
    </xf>
    <xf numFmtId="193" fontId="25" fillId="0" borderId="2" xfId="0" applyFont="1" applyBorder="1">
      <alignment vertical="center"/>
    </xf>
    <xf numFmtId="193" fontId="25" fillId="0" borderId="4" xfId="0" applyFont="1" applyBorder="1">
      <alignment vertical="center"/>
    </xf>
    <xf numFmtId="193" fontId="48" fillId="0" borderId="3" xfId="0" applyFont="1" applyBorder="1">
      <alignment vertical="center"/>
    </xf>
    <xf numFmtId="193" fontId="25" fillId="0" borderId="3" xfId="0" applyFont="1" applyBorder="1">
      <alignment vertical="center"/>
    </xf>
    <xf numFmtId="9" fontId="10" fillId="0" borderId="3" xfId="0" applyNumberFormat="1" applyFont="1" applyBorder="1" applyAlignment="1">
      <alignment vertical="center" wrapText="1"/>
    </xf>
    <xf numFmtId="178" fontId="12" fillId="0" borderId="26" xfId="0" applyNumberFormat="1" applyFont="1" applyBorder="1">
      <alignment vertical="center"/>
    </xf>
    <xf numFmtId="178" fontId="12" fillId="0" borderId="5" xfId="0" applyNumberFormat="1" applyFont="1" applyBorder="1">
      <alignment vertical="center"/>
    </xf>
    <xf numFmtId="178" fontId="10" fillId="0" borderId="26" xfId="0" applyNumberFormat="1" applyFont="1" applyBorder="1">
      <alignment vertical="center"/>
    </xf>
    <xf numFmtId="178" fontId="10" fillId="0" borderId="5" xfId="0" applyNumberFormat="1" applyFont="1" applyBorder="1">
      <alignment vertical="center"/>
    </xf>
    <xf numFmtId="178" fontId="10" fillId="0" borderId="26" xfId="1" applyNumberFormat="1" applyFont="1" applyBorder="1">
      <alignment vertical="center"/>
    </xf>
    <xf numFmtId="202" fontId="8" fillId="0" borderId="3" xfId="0" applyNumberFormat="1" applyFont="1" applyBorder="1" applyAlignment="1">
      <alignment horizontal="center" vertical="center"/>
    </xf>
    <xf numFmtId="178" fontId="46" fillId="0" borderId="3" xfId="32" applyNumberFormat="1" applyFont="1" applyBorder="1" applyAlignment="1">
      <alignment horizontal="center" vertical="center" wrapText="1"/>
    </xf>
    <xf numFmtId="178" fontId="45" fillId="0" borderId="3" xfId="1" applyNumberFormat="1" applyFont="1" applyBorder="1" applyAlignment="1">
      <alignment horizontal="center" vertical="center"/>
    </xf>
    <xf numFmtId="178" fontId="1" fillId="0" borderId="3" xfId="1" applyNumberFormat="1" applyFont="1" applyFill="1" applyBorder="1" applyAlignment="1">
      <alignment horizontal="center" vertical="center" wrapText="1"/>
    </xf>
    <xf numFmtId="178" fontId="1" fillId="0" borderId="3" xfId="32" applyNumberFormat="1" applyFont="1" applyBorder="1" applyAlignment="1">
      <alignment horizontal="center" vertical="center" wrapText="1"/>
    </xf>
    <xf numFmtId="178" fontId="27" fillId="0" borderId="3" xfId="1" applyNumberFormat="1" applyFont="1" applyBorder="1" applyAlignment="1">
      <alignment horizontal="center" vertical="center"/>
    </xf>
    <xf numFmtId="178" fontId="1" fillId="0" borderId="3" xfId="1" applyNumberFormat="1" applyFont="1" applyBorder="1" applyAlignment="1">
      <alignment horizontal="center" vertical="center" wrapText="1"/>
    </xf>
    <xf numFmtId="178" fontId="1" fillId="0" borderId="3" xfId="0" applyNumberFormat="1" applyFont="1" applyBorder="1" applyAlignment="1">
      <alignment horizontal="center" vertical="center" wrapText="1"/>
    </xf>
    <xf numFmtId="178" fontId="27" fillId="0" borderId="3" xfId="0" applyNumberFormat="1" applyFont="1" applyBorder="1" applyAlignment="1">
      <alignment horizontal="center" vertical="center"/>
    </xf>
    <xf numFmtId="178" fontId="45" fillId="0" borderId="3" xfId="0" applyNumberFormat="1" applyFont="1" applyBorder="1" applyAlignment="1">
      <alignment horizontal="center" vertical="center"/>
    </xf>
    <xf numFmtId="178" fontId="12" fillId="3" borderId="3" xfId="0" applyNumberFormat="1" applyFont="1" applyFill="1" applyBorder="1" applyAlignment="1">
      <alignment horizontal="center" vertical="center"/>
    </xf>
    <xf numFmtId="178" fontId="10" fillId="3" borderId="3" xfId="0" applyNumberFormat="1" applyFont="1" applyFill="1" applyBorder="1" applyAlignment="1">
      <alignment horizontal="center" vertical="center"/>
    </xf>
    <xf numFmtId="178" fontId="10" fillId="3" borderId="3" xfId="0" applyNumberFormat="1" applyFont="1" applyFill="1" applyBorder="1">
      <alignment vertical="center"/>
    </xf>
    <xf numFmtId="178" fontId="10" fillId="0" borderId="3" xfId="0" applyNumberFormat="1" applyFont="1" applyBorder="1" applyAlignment="1">
      <alignment horizontal="center" vertical="center"/>
    </xf>
    <xf numFmtId="178" fontId="10" fillId="3" borderId="3" xfId="0" applyNumberFormat="1" applyFont="1" applyFill="1" applyBorder="1" applyAlignment="1">
      <alignment horizontal="right" vertical="center"/>
    </xf>
    <xf numFmtId="178" fontId="10" fillId="3" borderId="3" xfId="1" applyNumberFormat="1" applyFont="1" applyFill="1" applyBorder="1" applyAlignment="1">
      <alignment horizontal="center" vertical="center" wrapText="1"/>
    </xf>
    <xf numFmtId="178" fontId="10" fillId="0" borderId="3" xfId="0" applyNumberFormat="1" applyFont="1" applyBorder="1" applyAlignment="1">
      <alignment horizontal="right" vertical="center"/>
    </xf>
    <xf numFmtId="202" fontId="10" fillId="3" borderId="3" xfId="0" applyNumberFormat="1" applyFont="1" applyFill="1" applyBorder="1" applyAlignment="1">
      <alignment horizontal="center" vertical="center"/>
    </xf>
    <xf numFmtId="202" fontId="10" fillId="3" borderId="3" xfId="0" applyNumberFormat="1" applyFont="1" applyFill="1" applyBorder="1" applyAlignment="1">
      <alignment horizontal="right" vertical="center"/>
    </xf>
    <xf numFmtId="202" fontId="10" fillId="3" borderId="1" xfId="0" applyNumberFormat="1" applyFont="1" applyFill="1" applyBorder="1" applyAlignment="1">
      <alignment horizontal="right" vertical="center"/>
    </xf>
    <xf numFmtId="202" fontId="10" fillId="0" borderId="3" xfId="0" applyNumberFormat="1" applyFont="1" applyBorder="1" applyAlignment="1">
      <alignment horizontal="right" vertical="center"/>
    </xf>
    <xf numFmtId="202" fontId="8" fillId="3" borderId="3" xfId="0" applyNumberFormat="1" applyFont="1" applyFill="1" applyBorder="1">
      <alignment vertical="center"/>
    </xf>
    <xf numFmtId="178" fontId="36" fillId="0" borderId="3" xfId="0" applyNumberFormat="1" applyFont="1" applyBorder="1" applyAlignment="1">
      <alignment horizontal="center" vertical="center" wrapText="1"/>
    </xf>
    <xf numFmtId="178" fontId="36" fillId="0" borderId="3" xfId="0" applyNumberFormat="1" applyFont="1" applyBorder="1" applyAlignment="1">
      <alignment horizontal="center" vertical="center"/>
    </xf>
    <xf numFmtId="178" fontId="36" fillId="0" borderId="3" xfId="0" applyNumberFormat="1" applyFont="1" applyBorder="1">
      <alignment vertical="center"/>
    </xf>
    <xf numFmtId="178" fontId="36" fillId="0" borderId="3" xfId="0" applyNumberFormat="1" applyFont="1" applyBorder="1" applyAlignment="1">
      <alignment vertical="center" wrapText="1"/>
    </xf>
    <xf numFmtId="178" fontId="36" fillId="0" borderId="3" xfId="1" applyNumberFormat="1" applyFont="1" applyFill="1" applyBorder="1" applyAlignment="1">
      <alignment horizontal="right" vertical="center" wrapText="1"/>
    </xf>
    <xf numFmtId="178" fontId="36" fillId="0" borderId="3" xfId="1" applyNumberFormat="1" applyFont="1" applyFill="1" applyBorder="1" applyAlignment="1">
      <alignment horizontal="center" vertical="center" wrapText="1"/>
    </xf>
    <xf numFmtId="178" fontId="36" fillId="0" borderId="3" xfId="1" applyNumberFormat="1" applyFont="1" applyFill="1" applyBorder="1" applyAlignment="1">
      <alignment horizontal="center" vertical="center"/>
    </xf>
    <xf numFmtId="178" fontId="37" fillId="0" borderId="3" xfId="0" applyNumberFormat="1" applyFont="1" applyBorder="1" applyAlignment="1">
      <alignment horizontal="center" vertical="center" wrapText="1"/>
    </xf>
    <xf numFmtId="178" fontId="29" fillId="0" borderId="3" xfId="0" applyNumberFormat="1" applyFont="1" applyBorder="1" applyAlignment="1">
      <alignment horizontal="center" vertical="center"/>
    </xf>
    <xf numFmtId="178" fontId="8" fillId="3" borderId="3" xfId="0" applyNumberFormat="1" applyFont="1" applyFill="1" applyBorder="1">
      <alignment vertical="center"/>
    </xf>
    <xf numFmtId="178" fontId="3" fillId="0" borderId="3" xfId="1" applyNumberFormat="1" applyFont="1" applyBorder="1" applyAlignment="1">
      <alignment horizontal="center" vertical="center"/>
    </xf>
    <xf numFmtId="178" fontId="8" fillId="0" borderId="0" xfId="0" applyNumberFormat="1" applyFont="1" applyAlignment="1">
      <alignment horizontal="center" vertical="center"/>
    </xf>
    <xf numFmtId="178" fontId="8" fillId="0" borderId="0" xfId="5" applyNumberFormat="1" applyFont="1" applyAlignment="1">
      <alignment horizontal="center" vertical="center"/>
    </xf>
    <xf numFmtId="178" fontId="8" fillId="3" borderId="0" xfId="0" applyNumberFormat="1" applyFont="1" applyFill="1">
      <alignment vertical="center"/>
    </xf>
    <xf numFmtId="202" fontId="12" fillId="0" borderId="3" xfId="7" applyNumberFormat="1" applyFont="1" applyBorder="1">
      <alignment vertical="center"/>
    </xf>
    <xf numFmtId="202" fontId="10" fillId="0" borderId="3" xfId="7" applyNumberFormat="1" applyFont="1" applyBorder="1">
      <alignment vertical="center"/>
    </xf>
    <xf numFmtId="202" fontId="10" fillId="3" borderId="3" xfId="7" applyNumberFormat="1" applyFont="1" applyFill="1" applyBorder="1" applyAlignment="1">
      <alignment horizontal="right" vertical="center"/>
    </xf>
    <xf numFmtId="178" fontId="8" fillId="3" borderId="3" xfId="0" applyNumberFormat="1" applyFont="1" applyFill="1" applyBorder="1" applyAlignment="1">
      <alignment horizontal="center" vertical="center"/>
    </xf>
    <xf numFmtId="178" fontId="8" fillId="3" borderId="6" xfId="0" applyNumberFormat="1" applyFont="1" applyFill="1" applyBorder="1" applyAlignment="1">
      <alignment horizontal="center" vertical="center"/>
    </xf>
    <xf numFmtId="178" fontId="4" fillId="3" borderId="3" xfId="0" applyNumberFormat="1" applyFont="1" applyFill="1" applyBorder="1">
      <alignment vertical="center"/>
    </xf>
    <xf numFmtId="178" fontId="3" fillId="3" borderId="3" xfId="0" applyNumberFormat="1" applyFont="1" applyFill="1" applyBorder="1">
      <alignment vertical="center"/>
    </xf>
    <xf numFmtId="178" fontId="3" fillId="3" borderId="0" xfId="0" applyNumberFormat="1" applyFont="1" applyFill="1">
      <alignment vertical="center"/>
    </xf>
    <xf numFmtId="178" fontId="4" fillId="3" borderId="3" xfId="0" applyNumberFormat="1" applyFont="1" applyFill="1" applyBorder="1" applyAlignment="1">
      <alignment horizontal="left" vertical="center"/>
    </xf>
    <xf numFmtId="178" fontId="3" fillId="3" borderId="3" xfId="0" applyNumberFormat="1" applyFont="1" applyFill="1" applyBorder="1" applyAlignment="1">
      <alignment horizontal="left" vertical="center"/>
    </xf>
    <xf numFmtId="178" fontId="4" fillId="0" borderId="3" xfId="0" applyNumberFormat="1" applyFont="1" applyBorder="1" applyAlignment="1">
      <alignment horizontal="center" vertical="center"/>
    </xf>
    <xf numFmtId="178" fontId="10" fillId="0" borderId="3" xfId="7" applyNumberFormat="1" applyFont="1" applyBorder="1" applyAlignment="1">
      <alignment horizontal="center" vertical="center"/>
    </xf>
    <xf numFmtId="178" fontId="12" fillId="0" borderId="3" xfId="7" applyNumberFormat="1" applyFont="1" applyBorder="1" applyAlignment="1">
      <alignment horizontal="center" vertical="center"/>
    </xf>
    <xf numFmtId="178" fontId="12" fillId="3" borderId="3" xfId="7" applyNumberFormat="1" applyFont="1" applyFill="1" applyBorder="1" applyAlignment="1">
      <alignment horizontal="center" vertical="center"/>
    </xf>
    <xf numFmtId="178" fontId="10" fillId="3" borderId="3" xfId="7" applyNumberFormat="1" applyFont="1" applyFill="1" applyBorder="1" applyAlignment="1">
      <alignment horizontal="center" vertical="center"/>
    </xf>
    <xf numFmtId="178" fontId="39" fillId="0" borderId="0" xfId="30" applyNumberFormat="1" applyFont="1" applyAlignment="1">
      <alignment horizontal="center" vertical="center"/>
    </xf>
    <xf numFmtId="196" fontId="8" fillId="0" borderId="0" xfId="0" applyNumberFormat="1" applyFont="1" applyAlignment="1">
      <alignment horizontal="left" vertical="center"/>
    </xf>
    <xf numFmtId="10" fontId="8" fillId="0" borderId="0" xfId="21" applyNumberFormat="1" applyFont="1" applyFill="1" applyBorder="1" applyAlignment="1">
      <alignment vertical="center"/>
    </xf>
    <xf numFmtId="10" fontId="8" fillId="0" borderId="0" xfId="21" applyNumberFormat="1" applyFont="1" applyFill="1" applyBorder="1" applyAlignment="1">
      <alignment horizontal="left" vertical="center"/>
    </xf>
    <xf numFmtId="43" fontId="83" fillId="0" borderId="5" xfId="1" applyFont="1" applyFill="1" applyBorder="1" applyAlignment="1">
      <alignment vertical="center"/>
    </xf>
    <xf numFmtId="193" fontId="14" fillId="0" borderId="4" xfId="0" applyFont="1" applyBorder="1" applyAlignment="1">
      <alignment vertical="center" wrapText="1"/>
    </xf>
    <xf numFmtId="8" fontId="27" fillId="0" borderId="5" xfId="1" applyNumberFormat="1" applyFont="1" applyBorder="1">
      <alignment vertical="center"/>
    </xf>
    <xf numFmtId="178" fontId="55" fillId="0" borderId="5" xfId="0" applyNumberFormat="1" applyFont="1" applyBorder="1">
      <alignment vertical="center"/>
    </xf>
    <xf numFmtId="178" fontId="8" fillId="0" borderId="5" xfId="0" applyNumberFormat="1" applyFont="1" applyBorder="1" applyAlignment="1">
      <alignment horizontal="right" vertical="center"/>
    </xf>
    <xf numFmtId="178" fontId="8" fillId="0" borderId="5" xfId="0" applyNumberFormat="1" applyFont="1" applyBorder="1">
      <alignment vertical="center"/>
    </xf>
    <xf numFmtId="178" fontId="8" fillId="0" borderId="5" xfId="1" applyNumberFormat="1" applyFont="1" applyFill="1" applyBorder="1" applyAlignment="1">
      <alignment vertical="center"/>
    </xf>
    <xf numFmtId="178" fontId="11" fillId="0" borderId="5" xfId="1" applyNumberFormat="1" applyFont="1" applyBorder="1">
      <alignment vertical="center"/>
    </xf>
    <xf numFmtId="178" fontId="8" fillId="0" borderId="5" xfId="1" applyNumberFormat="1" applyFont="1" applyBorder="1">
      <alignment vertical="center"/>
    </xf>
    <xf numFmtId="178" fontId="8" fillId="0" borderId="5" xfId="1" applyNumberFormat="1" applyFont="1" applyFill="1" applyBorder="1" applyAlignment="1">
      <alignment horizontal="right" vertical="center"/>
    </xf>
    <xf numFmtId="178" fontId="11" fillId="0" borderId="5" xfId="1" applyNumberFormat="1" applyFont="1" applyFill="1" applyBorder="1" applyAlignment="1">
      <alignment horizontal="right" vertical="center"/>
    </xf>
    <xf numFmtId="178" fontId="11" fillId="0" borderId="5" xfId="0" applyNumberFormat="1" applyFont="1" applyBorder="1" applyAlignment="1">
      <alignment horizontal="right" vertical="center"/>
    </xf>
    <xf numFmtId="193" fontId="87" fillId="0" borderId="0" xfId="69" applyFont="1" applyAlignment="1"/>
    <xf numFmtId="193" fontId="88" fillId="0" borderId="0" xfId="70" applyFont="1" applyAlignment="1">
      <alignment wrapText="1"/>
    </xf>
    <xf numFmtId="193" fontId="89" fillId="0" borderId="0" xfId="69" applyFont="1" applyAlignment="1"/>
    <xf numFmtId="193" fontId="90" fillId="0" borderId="0" xfId="0" applyFont="1">
      <alignment vertical="center"/>
    </xf>
    <xf numFmtId="193" fontId="91" fillId="0" borderId="0" xfId="0" applyFont="1">
      <alignment vertical="center"/>
    </xf>
    <xf numFmtId="178" fontId="91" fillId="0" borderId="0" xfId="30" applyNumberFormat="1" applyFont="1">
      <alignment vertical="center"/>
    </xf>
    <xf numFmtId="193" fontId="91" fillId="0" borderId="0" xfId="30" applyFont="1">
      <alignment vertical="center"/>
    </xf>
    <xf numFmtId="193" fontId="91" fillId="0" borderId="0" xfId="70" applyFont="1" applyAlignment="1">
      <alignment wrapText="1"/>
    </xf>
    <xf numFmtId="193" fontId="92" fillId="0" borderId="0" xfId="0" applyFont="1">
      <alignment vertical="center"/>
    </xf>
    <xf numFmtId="193" fontId="93" fillId="0" borderId="0" xfId="7" applyFont="1">
      <alignment vertical="center"/>
    </xf>
    <xf numFmtId="192" fontId="94" fillId="0" borderId="57" xfId="0" applyNumberFormat="1" applyFont="1" applyBorder="1" applyAlignment="1">
      <alignment horizontal="center" vertical="center"/>
    </xf>
    <xf numFmtId="193" fontId="95" fillId="0" borderId="62" xfId="69" applyFont="1" applyFill="1" applyBorder="1">
      <alignment vertical="center"/>
    </xf>
    <xf numFmtId="193" fontId="95" fillId="0" borderId="57" xfId="69" applyFont="1" applyFill="1" applyBorder="1">
      <alignment vertical="center"/>
    </xf>
    <xf numFmtId="193" fontId="95" fillId="0" borderId="57" xfId="69" applyFont="1" applyBorder="1">
      <alignment vertical="center"/>
    </xf>
    <xf numFmtId="194" fontId="94" fillId="0" borderId="57" xfId="0" applyNumberFormat="1" applyFont="1" applyBorder="1" applyAlignment="1">
      <alignment horizontal="right" vertical="center"/>
    </xf>
    <xf numFmtId="192" fontId="94" fillId="0" borderId="58" xfId="0" applyNumberFormat="1" applyFont="1" applyBorder="1" applyAlignment="1">
      <alignment horizontal="center" vertical="center"/>
    </xf>
    <xf numFmtId="193" fontId="95" fillId="0" borderId="58" xfId="69" applyFont="1" applyFill="1" applyBorder="1">
      <alignment vertical="center"/>
    </xf>
    <xf numFmtId="193" fontId="12" fillId="0" borderId="3" xfId="0" applyFont="1" applyBorder="1" applyAlignment="1">
      <alignment horizontal="center" vertical="center"/>
    </xf>
    <xf numFmtId="192" fontId="12" fillId="0" borderId="8" xfId="0" applyNumberFormat="1" applyFont="1" applyBorder="1" applyAlignment="1">
      <alignment horizontal="center" vertical="center"/>
    </xf>
    <xf numFmtId="193" fontId="12" fillId="0" borderId="8" xfId="0" applyFont="1" applyBorder="1" applyAlignment="1">
      <alignment horizontal="left" vertical="center"/>
    </xf>
    <xf numFmtId="185" fontId="12" fillId="0" borderId="8" xfId="0" applyNumberFormat="1" applyFont="1" applyBorder="1" applyAlignment="1">
      <alignment horizontal="center" vertical="center" wrapText="1"/>
    </xf>
    <xf numFmtId="43" fontId="10" fillId="0" borderId="8" xfId="1" applyFont="1" applyBorder="1" applyAlignment="1">
      <alignment horizontal="center" vertical="center"/>
    </xf>
    <xf numFmtId="187" fontId="48" fillId="3" borderId="0" xfId="0" applyNumberFormat="1" applyFont="1" applyFill="1">
      <alignment vertical="center"/>
    </xf>
    <xf numFmtId="193" fontId="99" fillId="0" borderId="60" xfId="0" applyFont="1" applyBorder="1" applyAlignment="1">
      <alignment horizontal="center" vertical="center"/>
    </xf>
    <xf numFmtId="193" fontId="99" fillId="0" borderId="61" xfId="0" applyFont="1" applyBorder="1" applyAlignment="1">
      <alignment horizontal="center" vertical="center"/>
    </xf>
    <xf numFmtId="10" fontId="27" fillId="0" borderId="5" xfId="1" applyNumberFormat="1" applyFont="1" applyBorder="1">
      <alignment vertical="center"/>
    </xf>
    <xf numFmtId="193" fontId="83" fillId="0" borderId="5" xfId="0" applyFont="1" applyBorder="1" applyAlignment="1">
      <alignment horizontal="center" vertical="center"/>
    </xf>
    <xf numFmtId="183" fontId="100" fillId="0" borderId="0" xfId="0" applyNumberFormat="1" applyFont="1" applyAlignment="1">
      <alignment horizontal="center" vertical="center"/>
    </xf>
    <xf numFmtId="193" fontId="101" fillId="0" borderId="0" xfId="0" applyFont="1" applyAlignment="1">
      <alignment horizontal="center" vertical="center"/>
    </xf>
    <xf numFmtId="192" fontId="36" fillId="0" borderId="8" xfId="0" applyNumberFormat="1" applyFont="1" applyBorder="1" applyAlignment="1">
      <alignment horizontal="center" vertical="center"/>
    </xf>
    <xf numFmtId="193" fontId="36" fillId="0" borderId="8" xfId="0" applyFont="1" applyBorder="1" applyAlignment="1">
      <alignment horizontal="left" vertical="center"/>
    </xf>
    <xf numFmtId="176" fontId="36" fillId="0" borderId="8" xfId="0" applyNumberFormat="1" applyFont="1" applyBorder="1" applyAlignment="1">
      <alignment horizontal="center" vertical="center" wrapText="1"/>
    </xf>
    <xf numFmtId="176" fontId="36" fillId="0" borderId="8" xfId="0" applyNumberFormat="1" applyFont="1" applyBorder="1" applyAlignment="1">
      <alignment horizontal="center" vertical="center"/>
    </xf>
    <xf numFmtId="193" fontId="36" fillId="0" borderId="8" xfId="0" applyFont="1" applyBorder="1">
      <alignment vertical="center"/>
    </xf>
    <xf numFmtId="193" fontId="12" fillId="0" borderId="3" xfId="0" applyFont="1" applyBorder="1" applyAlignment="1">
      <alignment vertical="center" wrapText="1"/>
    </xf>
    <xf numFmtId="193" fontId="103" fillId="0" borderId="0" xfId="0" applyFont="1">
      <alignment vertical="center"/>
    </xf>
    <xf numFmtId="177" fontId="8" fillId="3" borderId="3" xfId="0" applyNumberFormat="1" applyFont="1" applyFill="1" applyBorder="1">
      <alignment vertical="center"/>
    </xf>
    <xf numFmtId="198" fontId="10" fillId="0" borderId="3" xfId="1" applyNumberFormat="1" applyFont="1" applyBorder="1" applyAlignment="1">
      <alignment horizontal="center" vertical="center"/>
    </xf>
    <xf numFmtId="193" fontId="97" fillId="0" borderId="7" xfId="7" applyFont="1" applyBorder="1">
      <alignment vertical="center"/>
    </xf>
    <xf numFmtId="193" fontId="97" fillId="0" borderId="0" xfId="7" applyFont="1">
      <alignment vertical="center"/>
    </xf>
    <xf numFmtId="187" fontId="38" fillId="3" borderId="0" xfId="0" applyNumberFormat="1" applyFont="1" applyFill="1">
      <alignment vertical="center"/>
    </xf>
    <xf numFmtId="193" fontId="4" fillId="0" borderId="3" xfId="0" applyFont="1" applyBorder="1" applyAlignment="1">
      <alignment horizontal="center" vertical="center"/>
    </xf>
    <xf numFmtId="193" fontId="4" fillId="0" borderId="3" xfId="0" applyFont="1" applyBorder="1" applyAlignment="1">
      <alignment horizontal="left" vertical="center" wrapText="1"/>
    </xf>
    <xf numFmtId="193" fontId="104" fillId="0" borderId="0" xfId="0" applyFont="1">
      <alignment vertical="center"/>
    </xf>
    <xf numFmtId="186" fontId="11" fillId="3" borderId="0" xfId="0" applyNumberFormat="1" applyFont="1" applyFill="1" applyAlignment="1">
      <alignment horizontal="center" vertical="center"/>
    </xf>
    <xf numFmtId="187" fontId="105" fillId="3" borderId="3" xfId="0" applyNumberFormat="1" applyFont="1" applyFill="1" applyBorder="1" applyAlignment="1">
      <alignment horizontal="center" vertical="center"/>
    </xf>
    <xf numFmtId="186" fontId="11" fillId="0" borderId="0" xfId="0" applyNumberFormat="1" applyFont="1">
      <alignment vertical="center"/>
    </xf>
    <xf numFmtId="187" fontId="97" fillId="3" borderId="29" xfId="0" applyNumberFormat="1" applyFont="1" applyFill="1" applyBorder="1">
      <alignment vertical="center"/>
    </xf>
    <xf numFmtId="187" fontId="97" fillId="3" borderId="16" xfId="0" applyNumberFormat="1" applyFont="1" applyFill="1" applyBorder="1">
      <alignment vertical="center"/>
    </xf>
    <xf numFmtId="202" fontId="106" fillId="0" borderId="0" xfId="0" applyNumberFormat="1" applyFont="1">
      <alignment vertical="center"/>
    </xf>
    <xf numFmtId="193" fontId="107" fillId="0" borderId="0" xfId="0" applyFont="1">
      <alignment vertical="center"/>
    </xf>
    <xf numFmtId="193" fontId="107" fillId="0" borderId="0" xfId="0" applyFont="1" applyAlignment="1">
      <alignment vertical="center" wrapText="1"/>
    </xf>
    <xf numFmtId="187" fontId="105" fillId="0" borderId="3" xfId="0" applyNumberFormat="1" applyFont="1" applyBorder="1" applyAlignment="1">
      <alignment horizontal="center" vertical="center"/>
    </xf>
    <xf numFmtId="193" fontId="12" fillId="0" borderId="3" xfId="7" applyFont="1" applyBorder="1" applyAlignment="1">
      <alignment horizontal="center" vertical="center"/>
    </xf>
    <xf numFmtId="193" fontId="12" fillId="0" borderId="3" xfId="7" applyFont="1" applyBorder="1" applyAlignment="1">
      <alignment horizontal="center" vertical="center" wrapText="1"/>
    </xf>
    <xf numFmtId="10" fontId="6" fillId="3" borderId="3" xfId="5" applyNumberFormat="1" applyFont="1" applyFill="1" applyBorder="1" applyAlignment="1">
      <alignment horizontal="center" vertical="center"/>
    </xf>
    <xf numFmtId="181" fontId="79" fillId="3" borderId="5" xfId="0" applyNumberFormat="1" applyFont="1" applyFill="1" applyBorder="1" applyAlignment="1"/>
    <xf numFmtId="193" fontId="80" fillId="11" borderId="63" xfId="0" applyFont="1" applyFill="1" applyBorder="1" applyAlignment="1">
      <alignment horizontal="center" vertical="center"/>
    </xf>
    <xf numFmtId="181" fontId="79" fillId="12" borderId="34" xfId="0" applyNumberFormat="1" applyFont="1" applyFill="1" applyBorder="1" applyAlignment="1"/>
    <xf numFmtId="181" fontId="79" fillId="12" borderId="64" xfId="0" applyNumberFormat="1" applyFont="1" applyFill="1" applyBorder="1" applyAlignment="1"/>
    <xf numFmtId="43" fontId="70" fillId="0" borderId="4" xfId="1" applyFont="1" applyBorder="1" applyAlignment="1">
      <alignment horizontal="center" vertical="center" wrapText="1"/>
    </xf>
    <xf numFmtId="193" fontId="79" fillId="3" borderId="0" xfId="0" applyFont="1" applyFill="1" applyAlignment="1">
      <alignment horizontal="left"/>
    </xf>
    <xf numFmtId="181" fontId="79" fillId="3" borderId="0" xfId="0" applyNumberFormat="1" applyFont="1" applyFill="1" applyAlignment="1"/>
    <xf numFmtId="49" fontId="69" fillId="0" borderId="3" xfId="1" applyNumberFormat="1" applyFont="1" applyFill="1" applyBorder="1" applyAlignment="1">
      <alignment vertical="center" wrapText="1"/>
    </xf>
    <xf numFmtId="178" fontId="39" fillId="0" borderId="1" xfId="30" applyNumberFormat="1" applyFont="1" applyBorder="1" applyAlignment="1">
      <alignment horizontal="center" vertical="center"/>
    </xf>
    <xf numFmtId="193" fontId="80" fillId="3" borderId="3" xfId="0" applyFont="1" applyFill="1" applyBorder="1" applyAlignment="1">
      <alignment horizontal="center" vertical="center"/>
    </xf>
    <xf numFmtId="10" fontId="80" fillId="3" borderId="3" xfId="0" applyNumberFormat="1" applyFont="1" applyFill="1" applyBorder="1" applyAlignment="1">
      <alignment horizontal="center"/>
    </xf>
    <xf numFmtId="181" fontId="80" fillId="3" borderId="3" xfId="0" applyNumberFormat="1" applyFont="1" applyFill="1" applyBorder="1" applyAlignment="1">
      <alignment horizontal="center" vertical="center"/>
    </xf>
    <xf numFmtId="193" fontId="96" fillId="0" borderId="0" xfId="30" applyFont="1">
      <alignment vertical="center"/>
    </xf>
    <xf numFmtId="178" fontId="96" fillId="0" borderId="0" xfId="30" applyNumberFormat="1" applyFont="1">
      <alignment vertical="center"/>
    </xf>
    <xf numFmtId="193" fontId="80" fillId="3" borderId="3" xfId="0" applyFont="1" applyFill="1" applyBorder="1" applyAlignment="1">
      <alignment horizontal="center" vertical="center" wrapText="1"/>
    </xf>
    <xf numFmtId="193" fontId="79" fillId="12" borderId="34" xfId="0" applyFont="1" applyFill="1" applyBorder="1" applyAlignment="1">
      <alignment horizontal="left"/>
    </xf>
    <xf numFmtId="193" fontId="79" fillId="12" borderId="64" xfId="0" applyFont="1" applyFill="1" applyBorder="1" applyAlignment="1">
      <alignment horizontal="left"/>
    </xf>
    <xf numFmtId="181" fontId="79" fillId="3" borderId="18" xfId="0" applyNumberFormat="1" applyFont="1" applyFill="1" applyBorder="1" applyAlignment="1"/>
    <xf numFmtId="181" fontId="79" fillId="3" borderId="19" xfId="0" applyNumberFormat="1" applyFont="1" applyFill="1" applyBorder="1" applyAlignment="1"/>
    <xf numFmtId="181" fontId="79" fillId="3" borderId="27" xfId="0" applyNumberFormat="1" applyFont="1" applyFill="1" applyBorder="1" applyAlignment="1"/>
    <xf numFmtId="181" fontId="79" fillId="3" borderId="23" xfId="0" applyNumberFormat="1" applyFont="1" applyFill="1" applyBorder="1" applyAlignment="1"/>
    <xf numFmtId="193" fontId="79" fillId="3" borderId="44" xfId="0" applyFont="1" applyFill="1" applyBorder="1" applyAlignment="1">
      <alignment horizontal="left"/>
    </xf>
    <xf numFmtId="193" fontId="79" fillId="3" borderId="32" xfId="0" applyFont="1" applyFill="1" applyBorder="1" applyAlignment="1">
      <alignment horizontal="left"/>
    </xf>
    <xf numFmtId="181" fontId="79" fillId="3" borderId="32" xfId="0" applyNumberFormat="1" applyFont="1" applyFill="1" applyBorder="1" applyAlignment="1"/>
    <xf numFmtId="181" fontId="79" fillId="3" borderId="65" xfId="0" applyNumberFormat="1" applyFont="1" applyFill="1" applyBorder="1" applyAlignment="1"/>
    <xf numFmtId="10" fontId="79" fillId="3" borderId="19" xfId="0" applyNumberFormat="1" applyFont="1" applyFill="1" applyBorder="1" applyAlignment="1"/>
    <xf numFmtId="185" fontId="45" fillId="0" borderId="3" xfId="1" applyNumberFormat="1" applyFont="1" applyBorder="1" applyAlignment="1">
      <alignment vertical="center"/>
    </xf>
    <xf numFmtId="198" fontId="27" fillId="0" borderId="3" xfId="1" applyNumberFormat="1" applyFont="1" applyBorder="1" applyAlignment="1">
      <alignment vertical="center"/>
    </xf>
    <xf numFmtId="177" fontId="40" fillId="4" borderId="0" xfId="47" applyNumberFormat="1" applyFill="1">
      <alignment vertical="center"/>
    </xf>
    <xf numFmtId="49" fontId="69" fillId="0" borderId="6" xfId="1" applyNumberFormat="1" applyFont="1" applyFill="1" applyBorder="1" applyAlignment="1">
      <alignment vertical="center" wrapText="1"/>
    </xf>
    <xf numFmtId="193" fontId="12" fillId="0" borderId="3" xfId="0" applyFont="1" applyBorder="1" applyAlignment="1">
      <alignment horizontal="center" vertical="center" wrapText="1"/>
    </xf>
    <xf numFmtId="193" fontId="23" fillId="0" borderId="0" xfId="0" applyFont="1" applyAlignment="1">
      <alignment horizontal="center" vertical="center"/>
    </xf>
    <xf numFmtId="193" fontId="38" fillId="0" borderId="0" xfId="0" applyFont="1" applyAlignment="1">
      <alignment horizontal="center" vertical="center"/>
    </xf>
    <xf numFmtId="0" fontId="4" fillId="0" borderId="3" xfId="1" applyNumberFormat="1" applyFont="1" applyBorder="1" applyAlignment="1">
      <alignment horizontal="center" vertical="center"/>
    </xf>
    <xf numFmtId="193" fontId="4" fillId="0" borderId="3" xfId="47" applyFont="1" applyBorder="1" applyAlignment="1">
      <alignment horizontal="center" vertical="center" wrapText="1"/>
    </xf>
    <xf numFmtId="193" fontId="39" fillId="0" borderId="0" xfId="47" applyFont="1">
      <alignment vertical="center"/>
    </xf>
    <xf numFmtId="9" fontId="19" fillId="0" borderId="3" xfId="5" applyFont="1" applyBorder="1" applyAlignment="1">
      <alignment horizontal="left" vertical="center"/>
    </xf>
    <xf numFmtId="193" fontId="12" fillId="0" borderId="3" xfId="7" applyFont="1" applyBorder="1" applyAlignment="1">
      <alignment horizontal="left" vertical="center" wrapText="1"/>
    </xf>
    <xf numFmtId="181" fontId="13" fillId="0" borderId="3" xfId="0" applyNumberFormat="1" applyFont="1" applyBorder="1" applyAlignment="1">
      <alignment horizontal="center" vertical="center"/>
    </xf>
    <xf numFmtId="198" fontId="4" fillId="3" borderId="33" xfId="1" applyNumberFormat="1" applyFont="1" applyFill="1" applyBorder="1" applyAlignment="1">
      <alignment horizontal="left"/>
    </xf>
    <xf numFmtId="193" fontId="4" fillId="3" borderId="3" xfId="35" applyFont="1" applyFill="1" applyBorder="1"/>
    <xf numFmtId="193" fontId="3" fillId="3" borderId="3" xfId="35" applyFont="1" applyFill="1" applyBorder="1"/>
    <xf numFmtId="49" fontId="4" fillId="3" borderId="33" xfId="35" applyNumberFormat="1" applyFont="1" applyFill="1" applyBorder="1" applyAlignment="1">
      <alignment horizontal="left"/>
    </xf>
    <xf numFmtId="193" fontId="3" fillId="3" borderId="3" xfId="35" applyFont="1" applyFill="1" applyBorder="1" applyAlignment="1">
      <alignment horizontal="center"/>
    </xf>
    <xf numFmtId="49" fontId="3" fillId="3" borderId="33" xfId="35" applyNumberFormat="1" applyFont="1" applyFill="1" applyBorder="1" applyAlignment="1">
      <alignment horizontal="left"/>
    </xf>
    <xf numFmtId="43" fontId="3" fillId="3" borderId="3" xfId="1" applyFont="1" applyFill="1" applyBorder="1" applyAlignment="1">
      <alignment horizontal="center"/>
    </xf>
    <xf numFmtId="49" fontId="4" fillId="3" borderId="33" xfId="35" applyNumberFormat="1" applyFont="1" applyFill="1" applyBorder="1"/>
    <xf numFmtId="193" fontId="4" fillId="3" borderId="4" xfId="35" applyFont="1" applyFill="1" applyBorder="1" applyAlignment="1">
      <alignment horizontal="left" vertical="center"/>
    </xf>
    <xf numFmtId="43" fontId="4" fillId="3" borderId="33" xfId="1" applyFont="1" applyFill="1" applyBorder="1" applyAlignment="1">
      <alignment horizontal="left"/>
    </xf>
    <xf numFmtId="185" fontId="4" fillId="3" borderId="33" xfId="1" applyNumberFormat="1" applyFont="1" applyFill="1" applyBorder="1" applyAlignment="1">
      <alignment horizontal="center"/>
    </xf>
    <xf numFmtId="193" fontId="3" fillId="3" borderId="33" xfId="35" applyFont="1" applyFill="1" applyBorder="1" applyAlignment="1">
      <alignment horizontal="center"/>
    </xf>
    <xf numFmtId="193" fontId="50" fillId="3" borderId="3" xfId="35" applyFont="1" applyFill="1" applyBorder="1" applyAlignment="1">
      <alignment vertical="center"/>
    </xf>
    <xf numFmtId="49" fontId="69" fillId="0" borderId="3" xfId="1" applyNumberFormat="1" applyFont="1" applyFill="1" applyBorder="1" applyAlignment="1">
      <alignment horizontal="center" vertical="center" wrapText="1"/>
    </xf>
    <xf numFmtId="193" fontId="92" fillId="0" borderId="0" xfId="0" applyFont="1" applyAlignment="1"/>
    <xf numFmtId="43" fontId="92" fillId="0" borderId="0" xfId="0" applyNumberFormat="1" applyFont="1" applyAlignment="1"/>
    <xf numFmtId="193" fontId="108" fillId="13" borderId="3" xfId="0" applyFont="1" applyFill="1" applyBorder="1">
      <alignment vertical="center"/>
    </xf>
    <xf numFmtId="193" fontId="108" fillId="0" borderId="3" xfId="0" applyFont="1" applyBorder="1">
      <alignment vertical="center"/>
    </xf>
    <xf numFmtId="193" fontId="108" fillId="0" borderId="3" xfId="0" applyFont="1" applyBorder="1" applyAlignment="1">
      <alignment horizontal="center" vertical="center"/>
    </xf>
    <xf numFmtId="43" fontId="108" fillId="0" borderId="3" xfId="1" applyFont="1" applyBorder="1" applyAlignment="1">
      <alignment vertical="center"/>
    </xf>
    <xf numFmtId="43" fontId="109" fillId="0" borderId="3" xfId="1" applyFont="1" applyBorder="1" applyAlignment="1">
      <alignment horizontal="center" vertical="center"/>
    </xf>
    <xf numFmtId="43" fontId="109" fillId="0" borderId="3" xfId="1" applyFont="1" applyBorder="1" applyAlignment="1">
      <alignment vertical="center"/>
    </xf>
    <xf numFmtId="43" fontId="108" fillId="0" borderId="3" xfId="1" applyFont="1" applyBorder="1" applyAlignment="1">
      <alignment horizontal="left" vertical="center"/>
    </xf>
    <xf numFmtId="43" fontId="109" fillId="0" borderId="3" xfId="1" applyFont="1" applyBorder="1" applyAlignment="1">
      <alignment horizontal="left" vertical="center"/>
    </xf>
    <xf numFmtId="193" fontId="91" fillId="0" borderId="0" xfId="0" applyFont="1" applyAlignment="1"/>
    <xf numFmtId="43" fontId="108" fillId="14" borderId="3" xfId="1" applyFont="1" applyFill="1" applyBorder="1" applyAlignment="1">
      <alignment vertical="center"/>
    </xf>
    <xf numFmtId="43" fontId="108" fillId="2" borderId="3" xfId="1" applyFont="1" applyFill="1" applyBorder="1" applyAlignment="1">
      <alignment horizontal="left" vertical="center"/>
    </xf>
    <xf numFmtId="10" fontId="109" fillId="0" borderId="3" xfId="1" applyNumberFormat="1" applyFont="1" applyBorder="1" applyAlignment="1">
      <alignment horizontal="center" vertical="center"/>
    </xf>
    <xf numFmtId="43" fontId="108" fillId="14" borderId="3" xfId="1" applyFont="1" applyFill="1" applyBorder="1" applyAlignment="1">
      <alignment horizontal="center" vertical="center"/>
    </xf>
    <xf numFmtId="9" fontId="109" fillId="0" borderId="3" xfId="1" applyNumberFormat="1" applyFont="1" applyBorder="1" applyAlignment="1">
      <alignment horizontal="center" vertical="center"/>
    </xf>
    <xf numFmtId="43" fontId="108" fillId="0" borderId="3" xfId="1" applyFont="1" applyBorder="1" applyAlignment="1">
      <alignment horizontal="center" vertical="center"/>
    </xf>
    <xf numFmtId="43" fontId="109" fillId="15" borderId="3" xfId="1" applyFont="1" applyFill="1" applyBorder="1" applyAlignment="1">
      <alignment horizontal="center" vertical="center"/>
    </xf>
    <xf numFmtId="203" fontId="109" fillId="15" borderId="3" xfId="1" applyNumberFormat="1" applyFont="1" applyFill="1" applyBorder="1" applyAlignment="1">
      <alignment horizontal="center" vertical="center"/>
    </xf>
    <xf numFmtId="43" fontId="109" fillId="2" borderId="3" xfId="1" applyFont="1" applyFill="1" applyBorder="1" applyAlignment="1">
      <alignment horizontal="center" vertical="center"/>
    </xf>
    <xf numFmtId="193" fontId="110" fillId="13" borderId="3" xfId="0" applyFont="1" applyFill="1" applyBorder="1" applyAlignment="1"/>
    <xf numFmtId="193" fontId="92" fillId="0" borderId="3" xfId="0" applyFont="1" applyBorder="1" applyAlignment="1"/>
    <xf numFmtId="43" fontId="92" fillId="0" borderId="3" xfId="0" applyNumberFormat="1" applyFont="1" applyBorder="1" applyAlignment="1"/>
    <xf numFmtId="43" fontId="92" fillId="16" borderId="3" xfId="1" applyFont="1" applyFill="1" applyBorder="1" applyAlignment="1"/>
    <xf numFmtId="193" fontId="110" fillId="0" borderId="3" xfId="0" applyFont="1" applyBorder="1" applyAlignment="1"/>
    <xf numFmtId="43" fontId="110" fillId="0" borderId="3" xfId="0" applyNumberFormat="1" applyFont="1" applyBorder="1" applyAlignment="1"/>
    <xf numFmtId="193" fontId="109" fillId="0" borderId="3" xfId="0" applyFont="1" applyBorder="1" applyAlignment="1">
      <alignment horizontal="justify" vertical="center"/>
    </xf>
    <xf numFmtId="193" fontId="109" fillId="0" borderId="3" xfId="0" applyFont="1" applyBorder="1" applyAlignment="1">
      <alignment horizontal="left" vertical="center"/>
    </xf>
    <xf numFmtId="193" fontId="109" fillId="0" borderId="3" xfId="0" applyFont="1" applyBorder="1" applyAlignment="1">
      <alignment horizontal="center" vertical="center"/>
    </xf>
    <xf numFmtId="43" fontId="109" fillId="16" borderId="3" xfId="1" applyFont="1" applyFill="1" applyBorder="1" applyAlignment="1">
      <alignment horizontal="center" vertical="center"/>
    </xf>
    <xf numFmtId="178" fontId="71" fillId="0" borderId="6" xfId="30" applyNumberFormat="1" applyFont="1" applyBorder="1" applyAlignment="1">
      <alignment vertical="center" wrapText="1"/>
    </xf>
    <xf numFmtId="181" fontId="80" fillId="12" borderId="34" xfId="0" applyNumberFormat="1" applyFont="1" applyFill="1" applyBorder="1" applyAlignment="1"/>
    <xf numFmtId="178" fontId="39" fillId="0" borderId="3" xfId="30" applyNumberFormat="1" applyFont="1" applyBorder="1">
      <alignment vertical="center"/>
    </xf>
    <xf numFmtId="43" fontId="75" fillId="0" borderId="4" xfId="1" applyFont="1" applyBorder="1" applyAlignment="1">
      <alignment horizontal="center" vertical="center" wrapText="1"/>
    </xf>
    <xf numFmtId="178" fontId="39" fillId="0" borderId="0" xfId="30" applyNumberFormat="1" applyFont="1">
      <alignment vertical="center"/>
    </xf>
    <xf numFmtId="43" fontId="75" fillId="0" borderId="12" xfId="1" applyFont="1" applyBorder="1" applyAlignment="1">
      <alignment horizontal="center" vertical="center" wrapText="1"/>
    </xf>
    <xf numFmtId="43" fontId="75" fillId="0" borderId="8" xfId="1" applyFont="1" applyBorder="1" applyAlignment="1">
      <alignment horizontal="center" vertical="center" wrapText="1"/>
    </xf>
    <xf numFmtId="178" fontId="40" fillId="0" borderId="3" xfId="30" applyNumberFormat="1" applyBorder="1">
      <alignment vertical="center"/>
    </xf>
    <xf numFmtId="193" fontId="10" fillId="0" borderId="0" xfId="0" applyFont="1" applyAlignment="1">
      <alignment horizontal="left" vertical="center" wrapText="1"/>
    </xf>
    <xf numFmtId="193" fontId="12" fillId="0" borderId="0" xfId="0" applyFont="1" applyAlignment="1">
      <alignment horizontal="left" vertical="center" wrapText="1"/>
    </xf>
    <xf numFmtId="43" fontId="10" fillId="0" borderId="0" xfId="1" applyFont="1" applyBorder="1" applyAlignment="1">
      <alignment horizontal="center" vertical="center"/>
    </xf>
    <xf numFmtId="199" fontId="12" fillId="0" borderId="3" xfId="0" applyNumberFormat="1" applyFont="1" applyBorder="1" applyAlignment="1">
      <alignment horizontal="center" vertical="center" wrapText="1"/>
    </xf>
    <xf numFmtId="192" fontId="12" fillId="0" borderId="3" xfId="0" applyNumberFormat="1" applyFont="1" applyBorder="1" applyAlignment="1">
      <alignment horizontal="center" vertical="center"/>
    </xf>
    <xf numFmtId="194" fontId="10" fillId="0" borderId="3" xfId="0" applyNumberFormat="1" applyFont="1" applyBorder="1" applyAlignment="1">
      <alignment horizontal="center" vertical="center"/>
    </xf>
    <xf numFmtId="199" fontId="10" fillId="0" borderId="3" xfId="0" applyNumberFormat="1" applyFont="1" applyBorder="1" applyAlignment="1">
      <alignment horizontal="center" vertical="center" wrapText="1"/>
    </xf>
    <xf numFmtId="193" fontId="23" fillId="0" borderId="0" xfId="0" applyFont="1">
      <alignment vertical="center"/>
    </xf>
    <xf numFmtId="178" fontId="111" fillId="0" borderId="3" xfId="30" applyNumberFormat="1" applyFont="1" applyBorder="1" applyAlignment="1">
      <alignment horizontal="center" vertical="center" wrapText="1"/>
    </xf>
    <xf numFmtId="10" fontId="79" fillId="3" borderId="22" xfId="0" applyNumberFormat="1" applyFont="1" applyFill="1" applyBorder="1" applyAlignment="1"/>
    <xf numFmtId="192" fontId="80" fillId="3" borderId="3" xfId="0" applyNumberFormat="1" applyFont="1" applyFill="1" applyBorder="1" applyAlignment="1">
      <alignment horizontal="center"/>
    </xf>
    <xf numFmtId="178" fontId="71" fillId="0" borderId="3" xfId="30" applyNumberFormat="1" applyFont="1" applyBorder="1" applyAlignment="1">
      <alignment vertical="center" wrapText="1"/>
    </xf>
    <xf numFmtId="181" fontId="79" fillId="3" borderId="3" xfId="0" applyNumberFormat="1" applyFont="1" applyFill="1" applyBorder="1" applyAlignment="1"/>
    <xf numFmtId="10" fontId="79" fillId="3" borderId="3" xfId="0" applyNumberFormat="1" applyFont="1" applyFill="1" applyBorder="1" applyAlignment="1"/>
    <xf numFmtId="192" fontId="80" fillId="3" borderId="3" xfId="0" applyNumberFormat="1" applyFont="1" applyFill="1" applyBorder="1" applyAlignment="1">
      <alignment horizontal="center" vertical="center"/>
    </xf>
    <xf numFmtId="178" fontId="79" fillId="3" borderId="3" xfId="0" applyNumberFormat="1" applyFont="1" applyFill="1" applyBorder="1" applyAlignment="1"/>
    <xf numFmtId="192" fontId="96" fillId="0" borderId="1" xfId="30" applyNumberFormat="1" applyFont="1" applyBorder="1">
      <alignment vertical="center"/>
    </xf>
    <xf numFmtId="192" fontId="96" fillId="0" borderId="2" xfId="30" applyNumberFormat="1" applyFont="1" applyBorder="1">
      <alignment vertical="center"/>
    </xf>
    <xf numFmtId="178" fontId="12" fillId="0" borderId="26" xfId="0" applyNumberFormat="1" applyFont="1" applyBorder="1" applyAlignment="1">
      <alignment horizontal="center" vertical="center"/>
    </xf>
    <xf numFmtId="193" fontId="12" fillId="0" borderId="19" xfId="0" applyFont="1" applyBorder="1" applyAlignment="1">
      <alignment horizontal="center" vertical="center"/>
    </xf>
    <xf numFmtId="193" fontId="12" fillId="0" borderId="24" xfId="0" applyFont="1" applyBorder="1" applyAlignment="1">
      <alignment horizontal="center" vertical="center" wrapText="1"/>
    </xf>
    <xf numFmtId="193" fontId="112" fillId="0" borderId="0" xfId="0" applyFont="1">
      <alignment vertical="center"/>
    </xf>
    <xf numFmtId="178" fontId="112" fillId="0" borderId="0" xfId="0" applyNumberFormat="1" applyFont="1">
      <alignment vertical="center"/>
    </xf>
    <xf numFmtId="1" fontId="112" fillId="0" borderId="0" xfId="0" applyNumberFormat="1" applyFont="1">
      <alignment vertical="center"/>
    </xf>
    <xf numFmtId="178" fontId="113" fillId="0" borderId="0" xfId="0" applyNumberFormat="1" applyFont="1">
      <alignment vertical="center"/>
    </xf>
    <xf numFmtId="193" fontId="114" fillId="0" borderId="5" xfId="0" applyFont="1" applyBorder="1">
      <alignment vertical="center"/>
    </xf>
    <xf numFmtId="9" fontId="12" fillId="0" borderId="3" xfId="0" applyNumberFormat="1" applyFont="1" applyBorder="1" applyAlignment="1">
      <alignment horizontal="center" vertical="center" wrapText="1"/>
    </xf>
    <xf numFmtId="10" fontId="10" fillId="0" borderId="3" xfId="1" applyNumberFormat="1" applyFont="1" applyBorder="1" applyAlignment="1">
      <alignment horizontal="center" vertical="center"/>
    </xf>
    <xf numFmtId="193" fontId="115" fillId="0" borderId="0" xfId="0" applyFont="1">
      <alignment vertical="center"/>
    </xf>
    <xf numFmtId="186" fontId="115" fillId="0" borderId="3" xfId="1" applyNumberFormat="1" applyFont="1" applyBorder="1" applyAlignment="1">
      <alignment horizontal="center" vertical="center"/>
    </xf>
    <xf numFmtId="186" fontId="115" fillId="0" borderId="3" xfId="0" applyNumberFormat="1" applyFont="1" applyBorder="1" applyAlignment="1">
      <alignment horizontal="center" vertical="center"/>
    </xf>
    <xf numFmtId="193" fontId="51" fillId="0" borderId="3" xfId="0" applyFont="1" applyBorder="1" applyAlignment="1">
      <alignment horizontal="center" vertical="center"/>
    </xf>
    <xf numFmtId="193" fontId="115" fillId="3" borderId="3" xfId="0" applyFont="1" applyFill="1" applyBorder="1" applyAlignment="1">
      <alignment horizontal="center" vertical="center"/>
    </xf>
    <xf numFmtId="193" fontId="69" fillId="3" borderId="3" xfId="30" applyFont="1" applyFill="1" applyBorder="1" applyAlignment="1">
      <alignment horizontal="center" vertical="center"/>
    </xf>
    <xf numFmtId="178" fontId="69" fillId="3" borderId="3" xfId="30" applyNumberFormat="1" applyFont="1" applyFill="1" applyBorder="1" applyAlignment="1">
      <alignment horizontal="center" vertical="center"/>
    </xf>
    <xf numFmtId="193" fontId="12" fillId="3" borderId="3" xfId="0" applyFont="1" applyFill="1" applyBorder="1" applyAlignment="1">
      <alignment horizontal="center" vertical="center"/>
    </xf>
    <xf numFmtId="193" fontId="69" fillId="3" borderId="3" xfId="30" applyFont="1" applyFill="1" applyBorder="1" applyAlignment="1">
      <alignment horizontal="center" vertical="center" wrapText="1"/>
    </xf>
    <xf numFmtId="193" fontId="116" fillId="0" borderId="0" xfId="0" applyFont="1">
      <alignment vertical="center"/>
    </xf>
    <xf numFmtId="193" fontId="113" fillId="0" borderId="0" xfId="0" applyFont="1">
      <alignment vertical="center"/>
    </xf>
    <xf numFmtId="10" fontId="116" fillId="0" borderId="0" xfId="0" applyNumberFormat="1" applyFont="1">
      <alignment vertical="center"/>
    </xf>
    <xf numFmtId="177" fontId="117" fillId="0" borderId="3" xfId="38" applyNumberFormat="1" applyFont="1" applyBorder="1" applyAlignment="1">
      <alignment horizontal="center" vertical="center"/>
    </xf>
    <xf numFmtId="193" fontId="23" fillId="0" borderId="3" xfId="0" applyFont="1" applyBorder="1" applyAlignment="1">
      <alignment horizontal="center" vertical="center"/>
    </xf>
    <xf numFmtId="177" fontId="117" fillId="3" borderId="3" xfId="38" applyNumberFormat="1" applyFont="1" applyFill="1" applyBorder="1" applyAlignment="1">
      <alignment horizontal="left" vertical="center"/>
    </xf>
    <xf numFmtId="177" fontId="117" fillId="3" borderId="3" xfId="38" applyNumberFormat="1" applyFont="1" applyFill="1" applyBorder="1">
      <alignment vertical="center"/>
    </xf>
    <xf numFmtId="177" fontId="117" fillId="3" borderId="3" xfId="38" applyNumberFormat="1" applyFont="1" applyFill="1" applyBorder="1" applyAlignment="1">
      <alignment horizontal="center" vertical="center"/>
    </xf>
    <xf numFmtId="43" fontId="24" fillId="3" borderId="3" xfId="1" applyFont="1" applyFill="1" applyBorder="1" applyAlignment="1">
      <alignment horizontal="center" vertical="center"/>
    </xf>
    <xf numFmtId="196" fontId="118" fillId="3" borderId="3" xfId="38" applyNumberFormat="1" applyFont="1" applyFill="1" applyBorder="1" applyAlignment="1">
      <alignment horizontal="left" vertical="center"/>
    </xf>
    <xf numFmtId="177" fontId="118" fillId="3" borderId="3" xfId="38" applyNumberFormat="1" applyFont="1" applyFill="1" applyBorder="1">
      <alignment vertical="center"/>
    </xf>
    <xf numFmtId="177" fontId="118" fillId="3" borderId="3" xfId="38" applyNumberFormat="1" applyFont="1" applyFill="1" applyBorder="1" applyAlignment="1">
      <alignment horizontal="center" vertical="center"/>
    </xf>
    <xf numFmtId="43" fontId="118" fillId="3" borderId="3" xfId="1" applyFont="1" applyFill="1" applyBorder="1" applyAlignment="1">
      <alignment horizontal="center" vertical="center"/>
    </xf>
    <xf numFmtId="193" fontId="97" fillId="0" borderId="0" xfId="0" applyFont="1">
      <alignment vertical="center"/>
    </xf>
    <xf numFmtId="202" fontId="0" fillId="0" borderId="0" xfId="0" applyNumberFormat="1">
      <alignment vertical="center"/>
    </xf>
    <xf numFmtId="187" fontId="3" fillId="3" borderId="3" xfId="0" applyNumberFormat="1" applyFont="1" applyFill="1" applyBorder="1" applyAlignment="1">
      <alignment horizontal="left" vertical="center" wrapText="1" indent="1"/>
    </xf>
    <xf numFmtId="177" fontId="96" fillId="0" borderId="10" xfId="38" applyNumberFormat="1" applyFont="1" applyBorder="1">
      <alignment vertical="center"/>
    </xf>
    <xf numFmtId="177" fontId="96" fillId="0" borderId="11" xfId="38" applyNumberFormat="1" applyFont="1" applyBorder="1">
      <alignment vertical="center"/>
    </xf>
    <xf numFmtId="177" fontId="96" fillId="0" borderId="0" xfId="38" applyNumberFormat="1" applyFont="1">
      <alignment vertical="center"/>
    </xf>
    <xf numFmtId="189" fontId="8" fillId="0" borderId="3" xfId="0" applyNumberFormat="1" applyFont="1" applyBorder="1" applyAlignment="1">
      <alignment horizontal="center" vertical="center"/>
    </xf>
    <xf numFmtId="178" fontId="4" fillId="3" borderId="3" xfId="0" applyNumberFormat="1" applyFont="1" applyFill="1" applyBorder="1" applyAlignment="1">
      <alignment horizontal="center" vertical="center"/>
    </xf>
    <xf numFmtId="178" fontId="3" fillId="0" borderId="3" xfId="0" applyNumberFormat="1" applyFont="1" applyBorder="1" applyAlignment="1">
      <alignment horizontal="center" vertical="center"/>
    </xf>
    <xf numFmtId="178" fontId="3" fillId="3" borderId="3" xfId="0" applyNumberFormat="1" applyFont="1" applyFill="1" applyBorder="1" applyAlignment="1">
      <alignment horizontal="center" vertical="center"/>
    </xf>
    <xf numFmtId="193" fontId="119" fillId="0" borderId="0" xfId="0" applyFont="1">
      <alignment vertical="center"/>
    </xf>
    <xf numFmtId="195" fontId="119" fillId="0" borderId="0" xfId="0" applyNumberFormat="1" applyFont="1">
      <alignment vertical="center"/>
    </xf>
    <xf numFmtId="202" fontId="119" fillId="0" borderId="0" xfId="0" applyNumberFormat="1" applyFont="1">
      <alignment vertical="center"/>
    </xf>
    <xf numFmtId="193" fontId="40" fillId="0" borderId="0" xfId="0" applyFont="1">
      <alignment vertical="center"/>
    </xf>
    <xf numFmtId="178" fontId="12" fillId="0" borderId="3" xfId="0" applyNumberFormat="1" applyFont="1" applyBorder="1" applyAlignment="1">
      <alignment horizontal="center" vertical="center" wrapText="1"/>
    </xf>
    <xf numFmtId="193" fontId="39" fillId="7" borderId="0" xfId="30" applyFont="1" applyFill="1">
      <alignment vertical="center"/>
    </xf>
    <xf numFmtId="193" fontId="1" fillId="0" borderId="0" xfId="35" applyFont="1"/>
    <xf numFmtId="9" fontId="1" fillId="0" borderId="0" xfId="5" applyFont="1" applyAlignment="1"/>
    <xf numFmtId="43" fontId="120" fillId="3" borderId="3" xfId="35" applyNumberFormat="1" applyFont="1" applyFill="1" applyBorder="1"/>
    <xf numFmtId="43" fontId="107" fillId="3" borderId="3" xfId="35" applyNumberFormat="1" applyFont="1" applyFill="1" applyBorder="1"/>
    <xf numFmtId="43" fontId="120" fillId="3" borderId="3" xfId="65" applyFont="1" applyFill="1" applyBorder="1" applyAlignment="1"/>
    <xf numFmtId="43" fontId="120" fillId="3" borderId="3" xfId="35" applyNumberFormat="1" applyFont="1" applyFill="1" applyBorder="1" applyAlignment="1">
      <alignment vertical="center"/>
    </xf>
    <xf numFmtId="193" fontId="107" fillId="3" borderId="3" xfId="35" applyFont="1" applyFill="1" applyBorder="1"/>
    <xf numFmtId="43" fontId="107" fillId="3" borderId="3" xfId="65" applyFont="1" applyFill="1" applyBorder="1" applyAlignment="1"/>
    <xf numFmtId="43" fontId="107" fillId="3" borderId="3" xfId="1" applyFont="1" applyFill="1" applyBorder="1" applyAlignment="1"/>
    <xf numFmtId="43" fontId="107" fillId="3" borderId="3" xfId="1" applyFont="1" applyFill="1" applyBorder="1" applyAlignment="1">
      <alignment horizontal="right"/>
    </xf>
    <xf numFmtId="193" fontId="107" fillId="0" borderId="0" xfId="35" applyFont="1"/>
    <xf numFmtId="193" fontId="4" fillId="3" borderId="3" xfId="35" applyFont="1" applyFill="1" applyBorder="1" applyAlignment="1">
      <alignment horizontal="center"/>
    </xf>
    <xf numFmtId="10" fontId="120" fillId="3" borderId="3" xfId="16" applyNumberFormat="1" applyFont="1" applyFill="1" applyBorder="1" applyAlignment="1">
      <alignment vertical="center"/>
    </xf>
    <xf numFmtId="10" fontId="107" fillId="3" borderId="3" xfId="16" applyNumberFormat="1" applyFont="1" applyFill="1" applyBorder="1" applyAlignment="1">
      <alignment vertical="center"/>
    </xf>
    <xf numFmtId="193" fontId="97" fillId="0" borderId="0" xfId="7" applyFont="1" applyAlignment="1">
      <alignment horizontal="left" vertical="center"/>
    </xf>
    <xf numFmtId="195" fontId="121" fillId="0" borderId="0" xfId="7" applyNumberFormat="1" applyFont="1">
      <alignment vertical="center"/>
    </xf>
    <xf numFmtId="195" fontId="122" fillId="0" borderId="0" xfId="0" applyNumberFormat="1" applyFont="1">
      <alignment vertical="center"/>
    </xf>
    <xf numFmtId="200" fontId="12" fillId="0" borderId="3" xfId="7" applyNumberFormat="1" applyFont="1" applyBorder="1" applyAlignment="1">
      <alignment horizontal="left" vertical="center" wrapText="1"/>
    </xf>
    <xf numFmtId="195" fontId="123" fillId="0" borderId="3" xfId="7" applyNumberFormat="1" applyFont="1" applyBorder="1" applyAlignment="1">
      <alignment horizontal="left" vertical="center" wrapText="1"/>
    </xf>
    <xf numFmtId="195" fontId="123" fillId="0" borderId="3" xfId="7" applyNumberFormat="1" applyFont="1" applyBorder="1">
      <alignment vertical="center"/>
    </xf>
    <xf numFmtId="195" fontId="124" fillId="0" borderId="3" xfId="7" applyNumberFormat="1" applyFont="1" applyBorder="1">
      <alignment vertical="center"/>
    </xf>
    <xf numFmtId="195" fontId="121" fillId="0" borderId="3" xfId="7" applyNumberFormat="1" applyFont="1" applyBorder="1" applyAlignment="1">
      <alignment horizontal="left" vertical="center" wrapText="1"/>
    </xf>
    <xf numFmtId="195" fontId="121" fillId="0" borderId="3" xfId="7" applyNumberFormat="1" applyFont="1" applyBorder="1">
      <alignment vertical="center"/>
    </xf>
    <xf numFmtId="193" fontId="86" fillId="0" borderId="59" xfId="0" applyFont="1" applyBorder="1" applyAlignment="1">
      <alignment horizontal="center" vertical="center"/>
    </xf>
    <xf numFmtId="193" fontId="97" fillId="0" borderId="3" xfId="0" applyFont="1" applyBorder="1" applyAlignment="1">
      <alignment horizontal="center" vertical="center"/>
    </xf>
    <xf numFmtId="193" fontId="12" fillId="0" borderId="18" xfId="0" applyFont="1" applyBorder="1" applyAlignment="1">
      <alignment horizontal="center" vertical="center"/>
    </xf>
    <xf numFmtId="193" fontId="11" fillId="0" borderId="19" xfId="0" applyFont="1" applyBorder="1" applyAlignment="1">
      <alignment horizontal="center" vertical="center"/>
    </xf>
    <xf numFmtId="193" fontId="11" fillId="0" borderId="27" xfId="0" applyFont="1" applyBorder="1" applyAlignment="1">
      <alignment horizontal="center" vertical="center"/>
    </xf>
    <xf numFmtId="193" fontId="12" fillId="0" borderId="46" xfId="0" applyFont="1" applyBorder="1" applyAlignment="1">
      <alignment horizontal="center" vertical="center"/>
    </xf>
    <xf numFmtId="193" fontId="11" fillId="0" borderId="13" xfId="0" applyFont="1" applyBorder="1" applyAlignment="1">
      <alignment horizontal="center" vertical="center"/>
    </xf>
    <xf numFmtId="193" fontId="11" fillId="0" borderId="47" xfId="0" applyFont="1" applyBorder="1" applyAlignment="1">
      <alignment horizontal="center" vertical="center"/>
    </xf>
    <xf numFmtId="193" fontId="97" fillId="0" borderId="53" xfId="0" applyFont="1" applyBorder="1" applyAlignment="1">
      <alignment horizontal="center" vertical="center"/>
    </xf>
    <xf numFmtId="193" fontId="97" fillId="0" borderId="54" xfId="0" applyFont="1" applyBorder="1" applyAlignment="1">
      <alignment horizontal="center" vertical="center"/>
    </xf>
    <xf numFmtId="193" fontId="97" fillId="0" borderId="51" xfId="0" applyFont="1" applyBorder="1" applyAlignment="1">
      <alignment horizontal="center" vertical="center"/>
    </xf>
    <xf numFmtId="193" fontId="27" fillId="0" borderId="45" xfId="0" applyFont="1" applyBorder="1" applyAlignment="1">
      <alignment horizontal="center" vertical="center"/>
    </xf>
    <xf numFmtId="193" fontId="27" fillId="0" borderId="55" xfId="0" applyFont="1" applyBorder="1" applyAlignment="1">
      <alignment horizontal="center" vertical="center"/>
    </xf>
    <xf numFmtId="193" fontId="27" fillId="0" borderId="56" xfId="0" applyFont="1" applyBorder="1" applyAlignment="1">
      <alignment horizontal="center" vertical="center"/>
    </xf>
    <xf numFmtId="193" fontId="27" fillId="0" borderId="7" xfId="0" applyFont="1" applyBorder="1" applyAlignment="1">
      <alignment horizontal="center" vertical="center"/>
    </xf>
    <xf numFmtId="193" fontId="27" fillId="0" borderId="0" xfId="0" applyFont="1" applyAlignment="1">
      <alignment horizontal="center" vertical="center"/>
    </xf>
    <xf numFmtId="193" fontId="27" fillId="0" borderId="30" xfId="0" applyFont="1" applyBorder="1" applyAlignment="1">
      <alignment horizontal="center" vertical="center"/>
    </xf>
    <xf numFmtId="193" fontId="27" fillId="0" borderId="10" xfId="0" applyFont="1" applyBorder="1" applyAlignment="1">
      <alignment horizontal="center" vertical="center"/>
    </xf>
    <xf numFmtId="193" fontId="27" fillId="0" borderId="11" xfId="0" applyFont="1" applyBorder="1" applyAlignment="1">
      <alignment horizontal="center" vertical="center"/>
    </xf>
    <xf numFmtId="193" fontId="27" fillId="0" borderId="12" xfId="0" applyFont="1" applyBorder="1" applyAlignment="1">
      <alignment horizontal="center" vertical="center"/>
    </xf>
    <xf numFmtId="193" fontId="97" fillId="0" borderId="1" xfId="0" applyFont="1" applyBorder="1" applyAlignment="1">
      <alignment horizontal="center" vertical="center"/>
    </xf>
    <xf numFmtId="193" fontId="97" fillId="0" borderId="2" xfId="0" applyFont="1" applyBorder="1" applyAlignment="1">
      <alignment horizontal="center" vertical="center"/>
    </xf>
    <xf numFmtId="193" fontId="97" fillId="0" borderId="4" xfId="0" applyFont="1" applyBorder="1" applyAlignment="1">
      <alignment horizontal="center" vertical="center"/>
    </xf>
    <xf numFmtId="193" fontId="51" fillId="0" borderId="0" xfId="0" applyFont="1" applyAlignment="1">
      <alignment horizontal="center" vertical="center" shrinkToFit="1"/>
    </xf>
    <xf numFmtId="193" fontId="50" fillId="3" borderId="3" xfId="35" applyFont="1" applyFill="1" applyBorder="1" applyAlignment="1">
      <alignment horizontal="center" vertical="center"/>
    </xf>
    <xf numFmtId="193" fontId="97" fillId="0" borderId="0" xfId="0" applyFont="1" applyAlignment="1">
      <alignment horizontal="left" vertical="center"/>
    </xf>
    <xf numFmtId="193" fontId="12" fillId="0" borderId="23" xfId="0" applyFont="1" applyBorder="1" applyAlignment="1">
      <alignment horizontal="center" vertical="center"/>
    </xf>
    <xf numFmtId="193" fontId="10" fillId="0" borderId="19" xfId="0" applyFont="1" applyBorder="1" applyAlignment="1">
      <alignment horizontal="center" vertical="center"/>
    </xf>
    <xf numFmtId="193" fontId="10" fillId="0" borderId="5" xfId="0" applyFont="1" applyBorder="1" applyAlignment="1">
      <alignment horizontal="center" vertical="center"/>
    </xf>
    <xf numFmtId="193" fontId="10" fillId="0" borderId="27" xfId="0" applyFont="1" applyBorder="1" applyAlignment="1">
      <alignment horizontal="center" vertical="center" wrapText="1"/>
    </xf>
    <xf numFmtId="193" fontId="10" fillId="0" borderId="28" xfId="0" applyFont="1" applyBorder="1" applyAlignment="1">
      <alignment horizontal="center" vertical="center" wrapText="1"/>
    </xf>
    <xf numFmtId="10" fontId="4" fillId="3" borderId="29" xfId="5" applyNumberFormat="1" applyFont="1" applyFill="1" applyBorder="1" applyAlignment="1">
      <alignment horizontal="left" vertical="center" wrapText="1"/>
    </xf>
    <xf numFmtId="10" fontId="4" fillId="3" borderId="16" xfId="5" applyNumberFormat="1" applyFont="1" applyFill="1" applyBorder="1" applyAlignment="1">
      <alignment horizontal="left" vertical="center" wrapText="1"/>
    </xf>
    <xf numFmtId="10" fontId="4" fillId="3" borderId="17" xfId="5" applyNumberFormat="1" applyFont="1" applyFill="1" applyBorder="1" applyAlignment="1">
      <alignment horizontal="left" vertical="center" wrapText="1"/>
    </xf>
    <xf numFmtId="10" fontId="4" fillId="3" borderId="7" xfId="5" applyNumberFormat="1" applyFont="1" applyFill="1" applyBorder="1" applyAlignment="1">
      <alignment horizontal="left" vertical="center" wrapText="1"/>
    </xf>
    <xf numFmtId="10" fontId="4" fillId="3" borderId="0" xfId="5" applyNumberFormat="1" applyFont="1" applyFill="1" applyBorder="1" applyAlignment="1">
      <alignment horizontal="left" vertical="center" wrapText="1"/>
    </xf>
    <xf numFmtId="10" fontId="4" fillId="3" borderId="30" xfId="5" applyNumberFormat="1" applyFont="1" applyFill="1" applyBorder="1" applyAlignment="1">
      <alignment horizontal="left" vertical="center" wrapText="1"/>
    </xf>
    <xf numFmtId="10" fontId="3" fillId="3" borderId="3" xfId="5" applyNumberFormat="1" applyFont="1" applyFill="1" applyBorder="1" applyAlignment="1">
      <alignment horizontal="center" vertical="top" wrapText="1"/>
    </xf>
    <xf numFmtId="193" fontId="49" fillId="0" borderId="3" xfId="0" applyFont="1" applyBorder="1" applyAlignment="1">
      <alignment horizontal="center" vertical="center"/>
    </xf>
    <xf numFmtId="10" fontId="4" fillId="3" borderId="10" xfId="5" applyNumberFormat="1" applyFont="1" applyFill="1" applyBorder="1" applyAlignment="1">
      <alignment horizontal="left" vertical="center" wrapText="1"/>
    </xf>
    <xf numFmtId="10" fontId="4" fillId="3" borderId="11" xfId="5" applyNumberFormat="1" applyFont="1" applyFill="1" applyBorder="1" applyAlignment="1">
      <alignment horizontal="left" vertical="center" wrapText="1"/>
    </xf>
    <xf numFmtId="10" fontId="4" fillId="3" borderId="12" xfId="5" applyNumberFormat="1" applyFont="1" applyFill="1" applyBorder="1" applyAlignment="1">
      <alignment horizontal="left" vertical="center" wrapText="1"/>
    </xf>
    <xf numFmtId="193" fontId="25" fillId="0" borderId="2" xfId="0" applyFont="1" applyBorder="1" applyAlignment="1">
      <alignment horizontal="center" vertical="center"/>
    </xf>
    <xf numFmtId="193" fontId="12" fillId="0" borderId="20" xfId="0" applyFont="1" applyBorder="1" applyAlignment="1">
      <alignment horizontal="center" vertical="center"/>
    </xf>
    <xf numFmtId="193" fontId="12" fillId="0" borderId="21" xfId="0" applyFont="1" applyBorder="1" applyAlignment="1">
      <alignment horizontal="center" vertical="center"/>
    </xf>
    <xf numFmtId="193" fontId="12" fillId="0" borderId="22" xfId="0" applyFont="1" applyBorder="1" applyAlignment="1">
      <alignment horizontal="center" vertical="center"/>
    </xf>
    <xf numFmtId="10" fontId="4" fillId="2" borderId="3" xfId="5" applyNumberFormat="1" applyFont="1" applyFill="1" applyBorder="1" applyAlignment="1">
      <alignment horizontal="center" vertical="center" wrapText="1"/>
    </xf>
    <xf numFmtId="193" fontId="96" fillId="0" borderId="29" xfId="30" applyFont="1" applyBorder="1" applyAlignment="1">
      <alignment horizontal="left" vertical="center"/>
    </xf>
    <xf numFmtId="178" fontId="96" fillId="0" borderId="16" xfId="30" applyNumberFormat="1" applyFont="1" applyBorder="1" applyAlignment="1">
      <alignment horizontal="left" vertical="center"/>
    </xf>
    <xf numFmtId="193" fontId="96" fillId="0" borderId="1" xfId="30" applyFont="1" applyBorder="1" applyAlignment="1">
      <alignment horizontal="left" vertical="center"/>
    </xf>
    <xf numFmtId="178" fontId="96" fillId="0" borderId="2" xfId="30" applyNumberFormat="1" applyFont="1" applyBorder="1" applyAlignment="1">
      <alignment horizontal="left" vertical="center"/>
    </xf>
    <xf numFmtId="193" fontId="39" fillId="0" borderId="1" xfId="0" applyFont="1" applyBorder="1" applyAlignment="1">
      <alignment horizontal="left" vertical="center"/>
    </xf>
    <xf numFmtId="193" fontId="39" fillId="0" borderId="2" xfId="0" applyFont="1" applyBorder="1" applyAlignment="1">
      <alignment horizontal="left" vertical="center"/>
    </xf>
    <xf numFmtId="193" fontId="39" fillId="0" borderId="4" xfId="0" applyFont="1" applyBorder="1" applyAlignment="1">
      <alignment horizontal="left" vertical="center"/>
    </xf>
    <xf numFmtId="193" fontId="10" fillId="0" borderId="0" xfId="0" applyFont="1" applyAlignment="1">
      <alignment horizontal="center" vertical="center"/>
    </xf>
    <xf numFmtId="193" fontId="96" fillId="0" borderId="7" xfId="38" applyFont="1" applyBorder="1" applyAlignment="1">
      <alignment horizontal="left" vertical="center"/>
    </xf>
    <xf numFmtId="193" fontId="96" fillId="0" borderId="0" xfId="38" applyFont="1" applyAlignment="1">
      <alignment horizontal="left" vertical="center"/>
    </xf>
    <xf numFmtId="193" fontId="97" fillId="0" borderId="7" xfId="0" applyFont="1" applyBorder="1" applyAlignment="1">
      <alignment horizontal="left" vertical="center"/>
    </xf>
    <xf numFmtId="177" fontId="97" fillId="0" borderId="7" xfId="0" applyNumberFormat="1" applyFont="1" applyBorder="1" applyAlignment="1">
      <alignment horizontal="left" vertical="center"/>
    </xf>
    <xf numFmtId="177" fontId="97" fillId="0" borderId="0" xfId="0" applyNumberFormat="1" applyFont="1" applyAlignment="1">
      <alignment horizontal="left" vertical="center"/>
    </xf>
    <xf numFmtId="177" fontId="12" fillId="0" borderId="1" xfId="0" applyNumberFormat="1" applyFont="1" applyBorder="1" applyAlignment="1">
      <alignment horizontal="left" vertical="center" wrapText="1"/>
    </xf>
    <xf numFmtId="177" fontId="12" fillId="0" borderId="4" xfId="0" applyNumberFormat="1" applyFont="1" applyBorder="1" applyAlignment="1">
      <alignment horizontal="left" vertical="center" wrapText="1"/>
    </xf>
    <xf numFmtId="177" fontId="10" fillId="0" borderId="3" xfId="0" applyNumberFormat="1" applyFont="1" applyBorder="1" applyAlignment="1">
      <alignment horizontal="center" vertical="center" wrapText="1"/>
    </xf>
    <xf numFmtId="177" fontId="10" fillId="0" borderId="3" xfId="0" applyNumberFormat="1" applyFont="1" applyBorder="1" applyAlignment="1">
      <alignment horizontal="center" vertical="center"/>
    </xf>
    <xf numFmtId="177" fontId="29" fillId="0" borderId="3" xfId="0" applyNumberFormat="1" applyFont="1" applyBorder="1" applyAlignment="1">
      <alignment horizontal="center" vertical="center"/>
    </xf>
    <xf numFmtId="193" fontId="97" fillId="0" borderId="29" xfId="7" applyFont="1" applyBorder="1" applyAlignment="1">
      <alignment horizontal="left" vertical="center"/>
    </xf>
    <xf numFmtId="193" fontId="97" fillId="0" borderId="16" xfId="7" applyFont="1" applyBorder="1" applyAlignment="1">
      <alignment horizontal="left" vertical="center"/>
    </xf>
    <xf numFmtId="187" fontId="97" fillId="3" borderId="1" xfId="0" applyNumberFormat="1" applyFont="1" applyFill="1" applyBorder="1" applyAlignment="1">
      <alignment horizontal="left" vertical="center"/>
    </xf>
    <xf numFmtId="187" fontId="97" fillId="3" borderId="2" xfId="0" applyNumberFormat="1" applyFont="1" applyFill="1" applyBorder="1" applyAlignment="1">
      <alignment horizontal="left" vertical="center"/>
    </xf>
    <xf numFmtId="187" fontId="97" fillId="3" borderId="4" xfId="0" applyNumberFormat="1" applyFont="1" applyFill="1" applyBorder="1" applyAlignment="1">
      <alignment horizontal="left" vertical="center"/>
    </xf>
    <xf numFmtId="187" fontId="23" fillId="3" borderId="0" xfId="0" applyNumberFormat="1" applyFont="1" applyFill="1" applyAlignment="1">
      <alignment horizontal="left" vertical="center"/>
    </xf>
    <xf numFmtId="187" fontId="24" fillId="3" borderId="0" xfId="0" applyNumberFormat="1" applyFont="1" applyFill="1" applyAlignment="1">
      <alignment horizontal="left" vertical="center"/>
    </xf>
    <xf numFmtId="193" fontId="22" fillId="0" borderId="6" xfId="0" applyFont="1" applyBorder="1" applyAlignment="1">
      <alignment horizontal="center" vertical="center"/>
    </xf>
    <xf numFmtId="193" fontId="22" fillId="0" borderId="9" xfId="0" applyFont="1" applyBorder="1" applyAlignment="1">
      <alignment horizontal="center" vertical="center"/>
    </xf>
    <xf numFmtId="193" fontId="22" fillId="0" borderId="8" xfId="0" applyFont="1" applyBorder="1" applyAlignment="1">
      <alignment horizontal="center" vertical="center"/>
    </xf>
    <xf numFmtId="183" fontId="5" fillId="0" borderId="1" xfId="0" applyNumberFormat="1" applyFont="1" applyBorder="1" applyAlignment="1">
      <alignment horizontal="left" vertical="center"/>
    </xf>
    <xf numFmtId="183" fontId="5" fillId="0" borderId="2" xfId="0" applyNumberFormat="1" applyFont="1" applyBorder="1" applyAlignment="1">
      <alignment horizontal="left" vertical="center"/>
    </xf>
    <xf numFmtId="183" fontId="5" fillId="0" borderId="1" xfId="0" applyNumberFormat="1" applyFont="1" applyBorder="1" applyAlignment="1">
      <alignment horizontal="left" vertical="center" wrapText="1"/>
    </xf>
    <xf numFmtId="183" fontId="5" fillId="0" borderId="4" xfId="0" applyNumberFormat="1" applyFont="1" applyBorder="1" applyAlignment="1">
      <alignment horizontal="left" vertical="center" wrapText="1"/>
    </xf>
    <xf numFmtId="187" fontId="97" fillId="3" borderId="7" xfId="0" applyNumberFormat="1" applyFont="1" applyFill="1" applyBorder="1" applyAlignment="1">
      <alignment horizontal="left" vertical="center"/>
    </xf>
    <xf numFmtId="187" fontId="97" fillId="3" borderId="0" xfId="0" applyNumberFormat="1" applyFont="1" applyFill="1" applyAlignment="1">
      <alignment horizontal="left" vertical="center"/>
    </xf>
    <xf numFmtId="193" fontId="102" fillId="0" borderId="16" xfId="0" applyFont="1" applyBorder="1" applyAlignment="1">
      <alignment horizontal="center" vertical="center" wrapText="1"/>
    </xf>
    <xf numFmtId="193" fontId="102" fillId="0" borderId="0" xfId="0" applyFont="1" applyAlignment="1">
      <alignment horizontal="center" vertical="center"/>
    </xf>
    <xf numFmtId="193" fontId="13" fillId="0" borderId="3" xfId="0" applyFont="1" applyBorder="1" applyAlignment="1">
      <alignment horizontal="center" vertical="center"/>
    </xf>
    <xf numFmtId="187" fontId="97" fillId="0" borderId="1" xfId="0" applyNumberFormat="1" applyFont="1" applyBorder="1" applyAlignment="1">
      <alignment horizontal="left" vertical="center"/>
    </xf>
    <xf numFmtId="187" fontId="97" fillId="0" borderId="2" xfId="0" applyNumberFormat="1" applyFont="1" applyBorder="1" applyAlignment="1">
      <alignment horizontal="left" vertical="center"/>
    </xf>
    <xf numFmtId="193" fontId="13" fillId="0" borderId="3" xfId="0" applyFont="1" applyBorder="1" applyAlignment="1">
      <alignment horizontal="left" vertical="center"/>
    </xf>
    <xf numFmtId="193" fontId="97" fillId="0" borderId="7" xfId="7" applyFont="1" applyBorder="1" applyAlignment="1">
      <alignment horizontal="left" vertical="center"/>
    </xf>
    <xf numFmtId="193" fontId="97" fillId="0" borderId="0" xfId="7" applyFont="1" applyAlignment="1">
      <alignment horizontal="left" vertical="center"/>
    </xf>
  </cellXfs>
  <cellStyles count="71">
    <cellStyle name="Normal 4" xfId="19"/>
    <cellStyle name="Normal 5 2" xfId="20"/>
    <cellStyle name="z A 列文本" xfId="17"/>
    <cellStyle name="百分比" xfId="5" builtinId="5"/>
    <cellStyle name="百分比 2" xfId="6"/>
    <cellStyle name="百分比 2 2" xfId="11"/>
    <cellStyle name="百分比 2 3" xfId="13"/>
    <cellStyle name="百分比 3" xfId="21"/>
    <cellStyle name="百分比 4" xfId="10"/>
    <cellStyle name="百分比 5" xfId="12"/>
    <cellStyle name="百分比 5 2" xfId="23"/>
    <cellStyle name="百分比 6" xfId="15"/>
    <cellStyle name="百分比 7" xfId="8"/>
    <cellStyle name="百分比 8" xfId="3"/>
    <cellStyle name="百分比 9" xfId="16"/>
    <cellStyle name="标题 1 2" xfId="18"/>
    <cellStyle name="标题 2 2" xfId="22"/>
    <cellStyle name="标题 3 2" xfId="24"/>
    <cellStyle name="标题 4 2" xfId="26"/>
    <cellStyle name="标题 5" xfId="2"/>
    <cellStyle name="常规" xfId="0" builtinId="0"/>
    <cellStyle name="常规 10" xfId="27"/>
    <cellStyle name="常规 11" xfId="28"/>
    <cellStyle name="常规 12" xfId="29"/>
    <cellStyle name="常规 13" xfId="30"/>
    <cellStyle name="常规 14" xfId="31"/>
    <cellStyle name="常规 15" xfId="32"/>
    <cellStyle name="常规 16" xfId="33"/>
    <cellStyle name="常规 17" xfId="34"/>
    <cellStyle name="常规 18" xfId="35"/>
    <cellStyle name="常规 2" xfId="36"/>
    <cellStyle name="常规 2 2" xfId="37"/>
    <cellStyle name="常规 2 3" xfId="38"/>
    <cellStyle name="常规 2 4" xfId="39"/>
    <cellStyle name="常规 2 7" xfId="70"/>
    <cellStyle name="常规 3" xfId="40"/>
    <cellStyle name="常规 3 2" xfId="41"/>
    <cellStyle name="常规 4" xfId="42"/>
    <cellStyle name="常规 4 2" xfId="44"/>
    <cellStyle name="常规 5" xfId="45"/>
    <cellStyle name="常规 6" xfId="7"/>
    <cellStyle name="常规 7" xfId="46"/>
    <cellStyle name="常规 8" xfId="47"/>
    <cellStyle name="常规 9" xfId="48"/>
    <cellStyle name="常规 9 2" xfId="49"/>
    <cellStyle name="超链接" xfId="69" builtinId="8"/>
    <cellStyle name="超链接 2" xfId="50"/>
    <cellStyle name="橙色边框" xfId="51"/>
    <cellStyle name="黄色单元格" xfId="52"/>
    <cellStyle name="灰色单元格" xfId="53"/>
    <cellStyle name="货币 2" xfId="54"/>
    <cellStyle name="货币 3" xfId="55"/>
    <cellStyle name="货币[0] 2" xfId="14"/>
    <cellStyle name="开始文本" xfId="43"/>
    <cellStyle name="绿色右边框" xfId="56"/>
    <cellStyle name="绿色左边框" xfId="57"/>
    <cellStyle name="绿色左下边框" xfId="58"/>
    <cellStyle name="千位分隔" xfId="1" builtinId="3"/>
    <cellStyle name="千位分隔 2" xfId="59"/>
    <cellStyle name="千位分隔 3" xfId="25"/>
    <cellStyle name="千位分隔 4" xfId="60"/>
    <cellStyle name="千位分隔 5" xfId="61"/>
    <cellStyle name="千位分隔 6" xfId="62"/>
    <cellStyle name="千位分隔 7" xfId="63"/>
    <cellStyle name="千位分隔 8" xfId="64"/>
    <cellStyle name="千位分隔 9" xfId="65"/>
    <cellStyle name="日期" xfId="4"/>
    <cellStyle name="突出显示" xfId="9"/>
    <cellStyle name="下边框" xfId="66"/>
    <cellStyle name="着色 3 2" xfId="67"/>
    <cellStyle name="着色 4 2" xfId="68"/>
  </cellStyles>
  <dxfs count="6">
    <dxf>
      <fill>
        <patternFill patternType="solid">
          <bgColor rgb="FFFF0000"/>
        </patternFill>
      </fill>
    </dxf>
    <dxf>
      <fill>
        <patternFill patternType="solid">
          <bgColor rgb="FFFF0000"/>
        </patternFill>
      </fill>
    </dxf>
    <dxf>
      <font>
        <color theme="0"/>
      </font>
      <fill>
        <patternFill patternType="solid">
          <bgColor rgb="FF359966"/>
        </patternFill>
      </fill>
    </dxf>
    <dxf>
      <font>
        <color theme="0"/>
      </font>
      <fill>
        <patternFill patternType="solid">
          <bgColor rgb="FF359966"/>
        </patternFill>
      </fill>
    </dxf>
    <dxf>
      <fill>
        <patternFill patternType="solid">
          <bgColor theme="0" tint="-4.9989318521683403E-2"/>
        </patternFill>
      </fill>
    </dxf>
    <dxf>
      <font>
        <color theme="0"/>
      </font>
      <fill>
        <patternFill patternType="solid">
          <bgColor rgb="FF339966"/>
        </patternFill>
      </fill>
    </dxf>
  </dxfs>
  <tableStyles count="2" defaultTableStyle="TableStyleMedium2" defaultPivotStyle="PivotStyleLight16">
    <tableStyle name="CustomTableStyle" pivot="0" count="2">
      <tableStyleElement type="headerRow" dxfId="5"/>
      <tableStyleElement type="firstRowStripe" dxfId="4"/>
    </tableStyle>
    <tableStyle name="数据透视表样式 1" table="0" count="2">
      <tableStyleElement type="headerRow" dxfId="3"/>
      <tableStyleElement type="totalRow" dxfId="2"/>
    </tableStyle>
  </tableStyles>
  <colors>
    <mruColors>
      <color rgb="FFE1E3EA"/>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季度净现金</c:v>
          </c:tx>
          <c:spPr>
            <a:solidFill>
              <a:schemeClr val="accent1"/>
            </a:solidFill>
            <a:ln>
              <a:noFill/>
            </a:ln>
            <a:effectLst/>
          </c:spPr>
          <c:invertIfNegative val="0"/>
          <c:val>
            <c:numRef>
              <c:f>'附表12 项目全投资现金流量表'!$E$16:$X$16</c:f>
              <c:numCache>
                <c:formatCode>0.00_);[Red]\(0.00\)</c:formatCode>
                <c:ptCount val="20"/>
                <c:pt idx="0">
                  <c:v>-59832.185000000005</c:v>
                </c:pt>
                <c:pt idx="1">
                  <c:v>-8843.510000000002</c:v>
                </c:pt>
                <c:pt idx="2">
                  <c:v>-4471.755000000001</c:v>
                </c:pt>
                <c:pt idx="3">
                  <c:v>18317.808680000006</c:v>
                </c:pt>
                <c:pt idx="4">
                  <c:v>4406.5704719999994</c:v>
                </c:pt>
                <c:pt idx="5">
                  <c:v>4406.5704719999994</c:v>
                </c:pt>
                <c:pt idx="6">
                  <c:v>7825.005024</c:v>
                </c:pt>
                <c:pt idx="7">
                  <c:v>2127.6141039999993</c:v>
                </c:pt>
                <c:pt idx="8">
                  <c:v>-151.3422640000008</c:v>
                </c:pt>
                <c:pt idx="9">
                  <c:v>-1290.8204480000004</c:v>
                </c:pt>
                <c:pt idx="10">
                  <c:v>1941.4563680000001</c:v>
                </c:pt>
                <c:pt idx="11">
                  <c:v>1941.4563680000001</c:v>
                </c:pt>
                <c:pt idx="12">
                  <c:v>1941.4563680000001</c:v>
                </c:pt>
                <c:pt idx="13">
                  <c:v>1941.4563680000001</c:v>
                </c:pt>
                <c:pt idx="14">
                  <c:v>1941.4563680000001</c:v>
                </c:pt>
                <c:pt idx="15">
                  <c:v>1941.4563680000001</c:v>
                </c:pt>
                <c:pt idx="16">
                  <c:v>1941.4563680000001</c:v>
                </c:pt>
                <c:pt idx="17">
                  <c:v>1941.4563680000001</c:v>
                </c:pt>
                <c:pt idx="18">
                  <c:v>1941.4563680000001</c:v>
                </c:pt>
                <c:pt idx="19">
                  <c:v>23668.332940380518</c:v>
                </c:pt>
              </c:numCache>
            </c:numRef>
          </c:val>
          <c:extLst>
            <c:ext xmlns:c16="http://schemas.microsoft.com/office/drawing/2014/chart" uri="{C3380CC4-5D6E-409C-BE32-E72D297353CC}">
              <c16:uniqueId val="{00000000-F099-43EA-97E8-4F3B5846908D}"/>
            </c:ext>
          </c:extLst>
        </c:ser>
        <c:dLbls>
          <c:showLegendKey val="0"/>
          <c:showVal val="0"/>
          <c:showCatName val="0"/>
          <c:showSerName val="0"/>
          <c:showPercent val="0"/>
          <c:showBubbleSize val="0"/>
        </c:dLbls>
        <c:gapWidth val="269"/>
        <c:overlap val="-25"/>
        <c:axId val="423305200"/>
        <c:axId val="423301456"/>
      </c:barChart>
      <c:lineChart>
        <c:grouping val="standard"/>
        <c:varyColors val="0"/>
        <c:ser>
          <c:idx val="1"/>
          <c:order val="1"/>
          <c:tx>
            <c:v>累计净现金</c:v>
          </c:tx>
          <c:spPr>
            <a:ln w="28575" cap="rnd">
              <a:solidFill>
                <a:schemeClr val="accent2"/>
              </a:solidFill>
              <a:round/>
            </a:ln>
            <a:effectLst/>
          </c:spPr>
          <c:marker>
            <c:symbol val="none"/>
          </c:marker>
          <c:val>
            <c:numRef>
              <c:f>'附表12 项目全投资现金流量表'!$E$17:$X$17</c:f>
              <c:numCache>
                <c:formatCode>0.00_);[Red]\(0.00\)</c:formatCode>
                <c:ptCount val="20"/>
                <c:pt idx="0">
                  <c:v>-59832.185000000005</c:v>
                </c:pt>
                <c:pt idx="1">
                  <c:v>-68675.695000000007</c:v>
                </c:pt>
                <c:pt idx="2">
                  <c:v>-73147.450000000012</c:v>
                </c:pt>
                <c:pt idx="3">
                  <c:v>-54829.64132000001</c:v>
                </c:pt>
                <c:pt idx="4">
                  <c:v>-50423.07084800001</c:v>
                </c:pt>
                <c:pt idx="5">
                  <c:v>-46016.500376000011</c:v>
                </c:pt>
                <c:pt idx="6">
                  <c:v>-38191.495352000013</c:v>
                </c:pt>
                <c:pt idx="7">
                  <c:v>-36063.881248000012</c:v>
                </c:pt>
                <c:pt idx="8">
                  <c:v>-36215.223512000011</c:v>
                </c:pt>
                <c:pt idx="9">
                  <c:v>-37506.04396000001</c:v>
                </c:pt>
                <c:pt idx="10">
                  <c:v>-35564.587592000011</c:v>
                </c:pt>
                <c:pt idx="11">
                  <c:v>-33623.131224000012</c:v>
                </c:pt>
                <c:pt idx="12">
                  <c:v>-31681.674856000012</c:v>
                </c:pt>
                <c:pt idx="13">
                  <c:v>-29740.218488000013</c:v>
                </c:pt>
                <c:pt idx="14">
                  <c:v>-27798.762120000014</c:v>
                </c:pt>
                <c:pt idx="15">
                  <c:v>-25857.305752000015</c:v>
                </c:pt>
                <c:pt idx="16">
                  <c:v>-23915.849384000016</c:v>
                </c:pt>
                <c:pt idx="17">
                  <c:v>-21974.393016000016</c:v>
                </c:pt>
                <c:pt idx="18">
                  <c:v>-20032.936648000017</c:v>
                </c:pt>
                <c:pt idx="19">
                  <c:v>3635.3962923805011</c:v>
                </c:pt>
              </c:numCache>
            </c:numRef>
          </c:val>
          <c:smooth val="0"/>
          <c:extLst>
            <c:ext xmlns:c16="http://schemas.microsoft.com/office/drawing/2014/chart" uri="{C3380CC4-5D6E-409C-BE32-E72D297353CC}">
              <c16:uniqueId val="{00000002-F099-43EA-97E8-4F3B5846908D}"/>
            </c:ext>
          </c:extLst>
        </c:ser>
        <c:dLbls>
          <c:showLegendKey val="0"/>
          <c:showVal val="0"/>
          <c:showCatName val="0"/>
          <c:showSerName val="0"/>
          <c:showPercent val="0"/>
          <c:showBubbleSize val="0"/>
        </c:dLbls>
        <c:marker val="1"/>
        <c:smooth val="0"/>
        <c:axId val="423305200"/>
        <c:axId val="423301456"/>
      </c:lineChart>
      <c:catAx>
        <c:axId val="4233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23301456"/>
        <c:crosses val="autoZero"/>
        <c:auto val="1"/>
        <c:lblAlgn val="ctr"/>
        <c:lblOffset val="100"/>
        <c:noMultiLvlLbl val="0"/>
      </c:catAx>
      <c:valAx>
        <c:axId val="423301456"/>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233052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0</xdr:colOff>
      <xdr:row>58</xdr:row>
      <xdr:rowOff>0</xdr:rowOff>
    </xdr:from>
    <xdr:to>
      <xdr:col>19</xdr:col>
      <xdr:colOff>1545167</xdr:colOff>
      <xdr:row>73</xdr:row>
      <xdr:rowOff>60476</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甘涛" id="{B788BB69-16DE-4C35-9938-51CBF1A97166}" userId="甘涛" providerId="None"/>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25" dT="2024-05-13T08:19:21.02" personId="{B788BB69-16DE-4C35-9938-51CBF1A97166}" id="{DD24540E-8563-4F4A-B98F-70A4042B1B9D}">
    <text>中信金资提供项目贷款</text>
  </threadedComment>
</ThreadedComments>
</file>

<file path=xl/threadedComments/threadedComment2.xml><?xml version="1.0" encoding="utf-8"?>
<ThreadedComments xmlns="http://schemas.microsoft.com/office/spreadsheetml/2018/threadedcomments" xmlns:x="http://schemas.openxmlformats.org/spreadsheetml/2006/main">
  <threadedComment ref="H10" dT="2024-05-23T01:50:24.39" personId="{B788BB69-16DE-4C35-9938-51CBF1A97166}" id="{CD24D681-8803-4C27-A4C3-AB9E2D0B65A4}">
    <text>第一期要支付给村集体4000万</text>
  </threadedComment>
  <threadedComment ref="K79" dT="2024-05-23T01:49:45.75" personId="{B788BB69-16DE-4C35-9938-51CBF1A97166}" id="{0A990895-CAFC-4E46-8A12-5C3BA665216C}">
    <text>从本期开始每期支付村集体250万，合计4000万</text>
  </threadedComment>
</ThreadedComments>
</file>

<file path=xl/threadedComments/threadedComment3.xml><?xml version="1.0" encoding="utf-8"?>
<ThreadedComments xmlns="http://schemas.microsoft.com/office/spreadsheetml/2018/threadedcomments" xmlns:x="http://schemas.openxmlformats.org/spreadsheetml/2006/main">
  <threadedComment ref="C13" dT="2024-05-29T01:11:52.47" personId="{B788BB69-16DE-4C35-9938-51CBF1A97166}" id="{DD2291BE-AD37-4103-BDA2-B0487493A443}">
    <text>目的是合理避税，使先前季度亏损、后期盈利。</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activeCell="B22" sqref="B22"/>
    </sheetView>
  </sheetViews>
  <sheetFormatPr defaultRowHeight="14"/>
  <cols>
    <col min="1" max="1" width="5.90625" customWidth="1"/>
    <col min="2" max="2" width="40.6328125" customWidth="1"/>
  </cols>
  <sheetData>
    <row r="1" spans="1:2" ht="23" thickBot="1">
      <c r="A1" s="703" t="s">
        <v>786</v>
      </c>
      <c r="B1" s="703"/>
    </row>
    <row r="2" spans="1:2" ht="15" thickBot="1">
      <c r="A2" s="490" t="s">
        <v>537</v>
      </c>
      <c r="B2" s="491" t="s">
        <v>538</v>
      </c>
    </row>
    <row r="3" spans="1:2">
      <c r="A3" s="477">
        <v>0</v>
      </c>
      <c r="B3" s="478" t="s">
        <v>539</v>
      </c>
    </row>
    <row r="4" spans="1:2">
      <c r="A4" s="477">
        <v>1</v>
      </c>
      <c r="B4" s="479" t="s">
        <v>541</v>
      </c>
    </row>
    <row r="5" spans="1:2">
      <c r="A5" s="477">
        <v>1.1000000000000001</v>
      </c>
      <c r="B5" s="480" t="s">
        <v>542</v>
      </c>
    </row>
    <row r="6" spans="1:2">
      <c r="A6" s="477">
        <v>2</v>
      </c>
      <c r="B6" s="479" t="s">
        <v>540</v>
      </c>
    </row>
    <row r="7" spans="1:2">
      <c r="A7" s="477">
        <v>3</v>
      </c>
      <c r="B7" s="479" t="s">
        <v>745</v>
      </c>
    </row>
    <row r="8" spans="1:2">
      <c r="A8" s="481">
        <v>3.1</v>
      </c>
      <c r="B8" s="479" t="s">
        <v>555</v>
      </c>
    </row>
    <row r="9" spans="1:2">
      <c r="A9" s="477">
        <v>4</v>
      </c>
      <c r="B9" s="479" t="s">
        <v>543</v>
      </c>
    </row>
    <row r="10" spans="1:2">
      <c r="A10" s="477">
        <v>5</v>
      </c>
      <c r="B10" s="479" t="s">
        <v>544</v>
      </c>
    </row>
    <row r="11" spans="1:2">
      <c r="A11" s="481">
        <v>5.0999999999999996</v>
      </c>
      <c r="B11" s="479" t="s">
        <v>556</v>
      </c>
    </row>
    <row r="12" spans="1:2">
      <c r="A12" s="477">
        <v>6</v>
      </c>
      <c r="B12" s="479" t="s">
        <v>545</v>
      </c>
    </row>
    <row r="13" spans="1:2">
      <c r="A13" s="477">
        <v>7</v>
      </c>
      <c r="B13" s="479" t="s">
        <v>546</v>
      </c>
    </row>
    <row r="14" spans="1:2">
      <c r="A14" s="477">
        <v>8</v>
      </c>
      <c r="B14" s="479" t="s">
        <v>547</v>
      </c>
    </row>
    <row r="15" spans="1:2">
      <c r="A15" s="477">
        <v>9</v>
      </c>
      <c r="B15" s="479" t="s">
        <v>548</v>
      </c>
    </row>
    <row r="16" spans="1:2">
      <c r="A16" s="477">
        <v>10</v>
      </c>
      <c r="B16" s="479" t="s">
        <v>549</v>
      </c>
    </row>
    <row r="17" spans="1:2">
      <c r="A17" s="477">
        <v>11</v>
      </c>
      <c r="B17" s="479" t="s">
        <v>550</v>
      </c>
    </row>
    <row r="18" spans="1:2">
      <c r="A18" s="477">
        <v>12</v>
      </c>
      <c r="B18" s="479" t="s">
        <v>551</v>
      </c>
    </row>
    <row r="19" spans="1:2">
      <c r="A19" s="477">
        <v>13</v>
      </c>
      <c r="B19" s="479" t="s">
        <v>552</v>
      </c>
    </row>
    <row r="20" spans="1:2">
      <c r="A20" s="477">
        <v>14</v>
      </c>
      <c r="B20" s="479" t="s">
        <v>764</v>
      </c>
    </row>
    <row r="21" spans="1:2">
      <c r="A21" s="477">
        <v>15</v>
      </c>
      <c r="B21" s="479" t="s">
        <v>768</v>
      </c>
    </row>
    <row r="22" spans="1:2" ht="14.5" thickBot="1">
      <c r="A22" s="482">
        <v>16</v>
      </c>
      <c r="B22" s="483" t="s">
        <v>770</v>
      </c>
    </row>
  </sheetData>
  <mergeCells count="1">
    <mergeCell ref="A1:B1"/>
  </mergeCells>
  <phoneticPr fontId="27" type="noConversion"/>
  <hyperlinks>
    <hyperlink ref="B3" location="'0基本假设 '!Print_Area" display="基本假设与结果输出"/>
    <hyperlink ref="B4" location="'附表1 总投资估算表（汇总)'!Print_Area" display="项目总投资估算表（汇总）"/>
    <hyperlink ref="B5" location="'附表1.1 总投资估算（明细）'!Print_Area" display="项目总投资估算表（明细）"/>
    <hyperlink ref="B6" location="'附表2 投资计划与资金筹措平衡表 '!Print_Area" display="投资计划与资金筹措平衡表"/>
    <hyperlink ref="B7" location="'附表5 运营成本汇总表'!Print_Area" display="营业收入汇总表"/>
    <hyperlink ref="B8" location="'3.1销售情况分析'!A1" display="  销售分析"/>
    <hyperlink ref="B9" location="'附表4 税金及附加表'!Print_Area" display="增值税金及附加表"/>
    <hyperlink ref="B10" location="'附表5 运营成本汇总表'!Print_Area" display="运营成本汇总表"/>
    <hyperlink ref="B11" location="'5.1运营成本明细表'!A1" display="运营成本明细表"/>
    <hyperlink ref="B12" location="'附表6 资产折旧摊销表'!Print_Area" display="资产折旧摊销表"/>
    <hyperlink ref="B13" location="'附表7 银行贷款还本付息表'!A1" display="贷款还本付息表"/>
    <hyperlink ref="B14" location="'附表8 总成本估算表'!Print_Area" display="总成本估算表"/>
    <hyperlink ref="B15" location="附表9利润表!A1" display="利润表"/>
    <hyperlink ref="B16" location="'附表10 资金来源与运用表'!Print_Area" display="资金来源与应用表"/>
    <hyperlink ref="B17" location="'附表11 财务计划现金流量表'!Print_Area" display="财务计划现金流量表"/>
    <hyperlink ref="B18" location="'附表12 项目全投资现金流量表'!Print_Area" display="项目全投资现金流量表"/>
    <hyperlink ref="B19" location="'附表13 项目资本金现金流量'!Print_Area" display="项目资本金现金流量表"/>
    <hyperlink ref="B20" location="'附表14 中信建设现金流量表（优先级）'!Print_Area" display="中信建设现金流量表（优先级）"/>
    <hyperlink ref="B21" location="'附表15中信金资现金流量表（中间级）'!Print_Area" display="中信金资现金流量表（中间级）"/>
    <hyperlink ref="B22" location="'附表16五江现金流量表（劣后级）'!A1" display="五江现金流量表（劣后级）"/>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R81"/>
  <sheetViews>
    <sheetView tabSelected="1" topLeftCell="J1" zoomScale="80" zoomScaleNormal="80" zoomScaleSheetLayoutView="90" workbookViewId="0">
      <pane xSplit="1" ySplit="3" topLeftCell="K25" activePane="bottomRight" state="frozen"/>
      <selection activeCell="J1" sqref="J1"/>
      <selection pane="topRight" activeCell="K1" sqref="K1"/>
      <selection pane="bottomLeft" activeCell="J4" sqref="J4"/>
      <selection pane="bottomRight" activeCell="N68" sqref="N68"/>
    </sheetView>
  </sheetViews>
  <sheetFormatPr defaultColWidth="9.08984375" defaultRowHeight="14"/>
  <cols>
    <col min="1" max="1" width="1.453125" style="34" hidden="1" customWidth="1"/>
    <col min="2" max="2" width="9.90625" style="34" hidden="1" customWidth="1"/>
    <col min="3" max="3" width="25.08984375" style="34" hidden="1" customWidth="1"/>
    <col min="4" max="4" width="13.453125" style="34" hidden="1" customWidth="1"/>
    <col min="5" max="5" width="7.453125" style="34" hidden="1" customWidth="1"/>
    <col min="6" max="6" width="13.453125" style="34" hidden="1" customWidth="1"/>
    <col min="7" max="7" width="9.453125" style="34" hidden="1" customWidth="1"/>
    <col min="8" max="8" width="0.90625" style="34" hidden="1" customWidth="1"/>
    <col min="9" max="9" width="2.90625" style="34" hidden="1" customWidth="1"/>
    <col min="10" max="10" width="4.453125" style="34" customWidth="1"/>
    <col min="11" max="11" width="28.90625" style="34" customWidth="1"/>
    <col min="12" max="12" width="10.90625" style="34" customWidth="1"/>
    <col min="13" max="13" width="11.7265625" style="34" customWidth="1"/>
    <col min="14" max="14" width="24.6328125" style="173" customWidth="1"/>
    <col min="15" max="15" width="3.08984375" style="102" customWidth="1"/>
    <col min="16" max="16" width="6.26953125" style="34" customWidth="1"/>
    <col min="17" max="17" width="38.7265625" style="34" customWidth="1"/>
    <col min="18" max="18" width="10.7265625" style="34" customWidth="1"/>
    <col min="19" max="19" width="13.26953125" style="34" customWidth="1"/>
    <col min="20" max="20" width="21.08984375" style="34" customWidth="1"/>
    <col min="21" max="22" width="9.08984375" style="34"/>
    <col min="23" max="23" width="9.36328125" style="34" bestFit="1" customWidth="1"/>
    <col min="24" max="16384" width="9.08984375" style="34"/>
  </cols>
  <sheetData>
    <row r="1" spans="2:122" ht="30" customHeight="1">
      <c r="B1" s="35"/>
      <c r="J1" s="704" t="s">
        <v>518</v>
      </c>
      <c r="K1" s="704"/>
      <c r="L1" s="704"/>
      <c r="M1" s="704"/>
      <c r="N1" s="704"/>
      <c r="O1" s="317"/>
      <c r="P1" s="711" t="s">
        <v>519</v>
      </c>
      <c r="Q1" s="712"/>
      <c r="R1" s="712"/>
      <c r="S1" s="712"/>
      <c r="T1" s="713"/>
    </row>
    <row r="2" spans="2:122" ht="16" customHeight="1">
      <c r="B2" s="174"/>
      <c r="C2" s="175"/>
      <c r="D2" s="175"/>
      <c r="E2" s="175"/>
      <c r="F2" s="176"/>
      <c r="J2" s="705" t="s">
        <v>328</v>
      </c>
      <c r="K2" s="706"/>
      <c r="L2" s="706"/>
      <c r="M2" s="706"/>
      <c r="N2" s="707"/>
      <c r="O2" s="317"/>
      <c r="P2" s="708" t="s">
        <v>399</v>
      </c>
      <c r="Q2" s="709"/>
      <c r="R2" s="709"/>
      <c r="S2" s="709"/>
      <c r="T2" s="710"/>
    </row>
    <row r="3" spans="2:122" ht="16" customHeight="1">
      <c r="B3" s="177"/>
      <c r="C3" s="178"/>
      <c r="D3" s="179"/>
      <c r="E3" s="180"/>
      <c r="F3" s="181"/>
      <c r="J3" s="284" t="s">
        <v>0</v>
      </c>
      <c r="K3" s="220" t="s">
        <v>1</v>
      </c>
      <c r="L3" s="220" t="s">
        <v>2</v>
      </c>
      <c r="M3" s="220" t="s">
        <v>3</v>
      </c>
      <c r="N3" s="285" t="s">
        <v>4</v>
      </c>
      <c r="O3" s="317"/>
      <c r="P3" s="341" t="s">
        <v>395</v>
      </c>
      <c r="Q3" s="342" t="s">
        <v>396</v>
      </c>
      <c r="R3" s="342" t="s">
        <v>345</v>
      </c>
      <c r="S3" s="342" t="s">
        <v>397</v>
      </c>
      <c r="T3" s="343" t="s">
        <v>398</v>
      </c>
    </row>
    <row r="4" spans="2:122" ht="16" customHeight="1">
      <c r="B4" s="182"/>
      <c r="C4" s="183"/>
      <c r="D4" s="184"/>
      <c r="E4" s="185"/>
      <c r="F4" s="186"/>
      <c r="J4" s="286">
        <v>1</v>
      </c>
      <c r="K4" s="187" t="s">
        <v>5</v>
      </c>
      <c r="L4" s="458">
        <f>'附表1 总投资估算表（汇总)'!F20</f>
        <v>106762.97492500002</v>
      </c>
      <c r="M4" s="301" t="s">
        <v>685</v>
      </c>
      <c r="N4" s="293"/>
      <c r="O4" s="317"/>
      <c r="P4" s="286">
        <v>1</v>
      </c>
      <c r="Q4" s="344" t="s">
        <v>410</v>
      </c>
      <c r="R4" s="167"/>
      <c r="S4" s="167"/>
      <c r="T4" s="345"/>
    </row>
    <row r="5" spans="2:122" ht="16" customHeight="1">
      <c r="B5" s="177"/>
      <c r="C5" s="187"/>
      <c r="D5" s="179"/>
      <c r="E5" s="180"/>
      <c r="F5" s="188"/>
      <c r="J5" s="287">
        <v>1.1000000000000001</v>
      </c>
      <c r="K5" s="192" t="s">
        <v>6</v>
      </c>
      <c r="L5" s="459">
        <f>'附表1 总投资估算表（汇总)'!F20</f>
        <v>106762.97492500002</v>
      </c>
      <c r="M5" s="126" t="s">
        <v>685</v>
      </c>
      <c r="N5" s="311"/>
      <c r="O5" s="317"/>
      <c r="P5" s="295">
        <v>1.1000000000000001</v>
      </c>
      <c r="Q5" s="348" t="s">
        <v>400</v>
      </c>
      <c r="R5" s="349">
        <f ca="1">'附表12 项目全投资现金流量表'!D19</f>
        <v>1.9221046237098305E-2</v>
      </c>
      <c r="S5" s="167"/>
      <c r="T5" s="345"/>
    </row>
    <row r="6" spans="2:122" ht="16" customHeight="1">
      <c r="B6" s="182"/>
      <c r="C6" s="183"/>
      <c r="D6" s="184"/>
      <c r="E6" s="185"/>
      <c r="F6" s="186"/>
      <c r="J6" s="287">
        <v>1.2</v>
      </c>
      <c r="K6" s="222" t="s">
        <v>7</v>
      </c>
      <c r="L6" s="459" t="s">
        <v>8</v>
      </c>
      <c r="M6" s="126" t="s">
        <v>685</v>
      </c>
      <c r="N6" s="312"/>
      <c r="O6" s="317"/>
      <c r="P6" s="295">
        <v>1.2</v>
      </c>
      <c r="Q6" s="167" t="s">
        <v>401</v>
      </c>
      <c r="R6" s="349">
        <f ca="1">'附表12 项目全投资现金流量表'!D20</f>
        <v>1.8534588814617559E-2</v>
      </c>
      <c r="S6" s="167"/>
      <c r="T6" s="345"/>
    </row>
    <row r="7" spans="2:122" ht="16" customHeight="1">
      <c r="B7" s="182"/>
      <c r="C7" s="183"/>
      <c r="D7" s="184"/>
      <c r="E7" s="185"/>
      <c r="F7" s="186"/>
      <c r="J7" s="288">
        <v>2</v>
      </c>
      <c r="K7" s="187" t="s">
        <v>9</v>
      </c>
      <c r="L7" s="458">
        <f>L8</f>
        <v>40597.550000000003</v>
      </c>
      <c r="M7" s="126" t="s">
        <v>685</v>
      </c>
      <c r="N7" s="313" t="str">
        <f>"工程占比"&amp;ROUND(L7/L4,2)</f>
        <v>工程占比0.38</v>
      </c>
      <c r="O7" s="317"/>
      <c r="P7" s="295">
        <v>1.3</v>
      </c>
      <c r="Q7" s="167" t="s">
        <v>402</v>
      </c>
      <c r="R7" s="347">
        <f ca="1">'附表12 项目全投资现金流量表'!F19</f>
        <v>4.9603500054894303</v>
      </c>
      <c r="S7" s="165" t="s">
        <v>572</v>
      </c>
      <c r="T7" s="345"/>
    </row>
    <row r="8" spans="2:122" ht="16" customHeight="1">
      <c r="B8" s="189"/>
      <c r="C8" s="190"/>
      <c r="D8" s="184"/>
      <c r="E8" s="185"/>
      <c r="F8" s="186"/>
      <c r="J8" s="287">
        <v>2.1</v>
      </c>
      <c r="K8" s="192" t="s">
        <v>10</v>
      </c>
      <c r="L8" s="460">
        <f>'附表1 总投资估算表（汇总)'!F4</f>
        <v>40597.550000000003</v>
      </c>
      <c r="M8" s="126" t="s">
        <v>685</v>
      </c>
      <c r="N8" s="312"/>
      <c r="O8" s="317"/>
      <c r="P8" s="295">
        <v>1.4</v>
      </c>
      <c r="Q8" s="167" t="s">
        <v>403</v>
      </c>
      <c r="R8" s="347">
        <f ca="1">'附表12 项目全投资现金流量表'!F20</f>
        <v>4.9616006300323523</v>
      </c>
      <c r="S8" s="165" t="s">
        <v>572</v>
      </c>
      <c r="T8" s="345"/>
    </row>
    <row r="9" spans="2:122" ht="16" customHeight="1">
      <c r="B9" s="191"/>
      <c r="C9" s="190"/>
      <c r="D9" s="184"/>
      <c r="E9" s="185"/>
      <c r="F9" s="186"/>
      <c r="J9" s="287">
        <v>2.2000000000000002</v>
      </c>
      <c r="K9" s="192" t="s">
        <v>325</v>
      </c>
      <c r="L9" s="460">
        <v>0</v>
      </c>
      <c r="M9" s="126"/>
      <c r="N9" s="312"/>
      <c r="O9" s="317"/>
      <c r="P9" s="346"/>
      <c r="Q9" s="167"/>
      <c r="R9" s="167"/>
      <c r="S9" s="165"/>
      <c r="T9" s="345"/>
    </row>
    <row r="10" spans="2:122" ht="16" customHeight="1">
      <c r="B10" s="191"/>
      <c r="C10" s="190"/>
      <c r="D10" s="184"/>
      <c r="E10" s="185"/>
      <c r="F10" s="186"/>
      <c r="J10" s="287">
        <v>2.2999999999999998</v>
      </c>
      <c r="K10" s="192" t="s">
        <v>11</v>
      </c>
      <c r="L10" s="460">
        <f>L8*(1-L9)</f>
        <v>40597.550000000003</v>
      </c>
      <c r="M10" s="126" t="s">
        <v>685</v>
      </c>
      <c r="N10" s="312"/>
      <c r="O10" s="317"/>
      <c r="P10" s="286">
        <v>2</v>
      </c>
      <c r="Q10" s="344" t="s">
        <v>408</v>
      </c>
      <c r="R10" s="167"/>
      <c r="S10" s="165"/>
      <c r="T10" s="345"/>
    </row>
    <row r="11" spans="2:122" ht="16" customHeight="1">
      <c r="B11" s="177"/>
      <c r="C11" s="178"/>
      <c r="D11" s="184"/>
      <c r="E11" s="185"/>
      <c r="F11" s="186"/>
      <c r="J11" s="289">
        <v>3.1</v>
      </c>
      <c r="K11" s="222" t="s">
        <v>12</v>
      </c>
      <c r="L11" s="223">
        <f>L12/L4</f>
        <v>0.59051768620431211</v>
      </c>
      <c r="M11" s="126"/>
      <c r="N11" s="311"/>
      <c r="O11" s="317"/>
      <c r="P11" s="295">
        <v>2.1</v>
      </c>
      <c r="Q11" s="348" t="s">
        <v>404</v>
      </c>
      <c r="R11" s="349">
        <f ca="1">'附表13 项目资本金现金流量'!D22</f>
        <v>-3.6756885569224074E-2</v>
      </c>
      <c r="S11" s="165"/>
      <c r="T11" s="345"/>
    </row>
    <row r="12" spans="2:122" ht="16" customHeight="1">
      <c r="B12" s="182"/>
      <c r="C12" s="192"/>
      <c r="D12" s="193"/>
      <c r="E12" s="185"/>
      <c r="F12" s="186"/>
      <c r="J12" s="289">
        <v>3.2</v>
      </c>
      <c r="K12" s="222" t="s">
        <v>13</v>
      </c>
      <c r="L12" s="460">
        <f>'附表2 投资计划与资金筹措平衡表 '!O12</f>
        <v>63045.424925000007</v>
      </c>
      <c r="M12" s="126" t="s">
        <v>685</v>
      </c>
      <c r="N12" s="311"/>
      <c r="O12" s="317"/>
      <c r="P12" s="295">
        <v>2.2000000000000002</v>
      </c>
      <c r="Q12" s="167" t="s">
        <v>405</v>
      </c>
      <c r="R12" s="349">
        <f ca="1">'附表13 项目资本金现金流量'!D23</f>
        <v>-3.6756885569224074E-2</v>
      </c>
      <c r="S12" s="165"/>
      <c r="T12" s="345"/>
    </row>
    <row r="13" spans="2:122" s="172" customFormat="1" ht="16" customHeight="1">
      <c r="B13" s="194"/>
      <c r="C13" s="195"/>
      <c r="D13" s="196"/>
      <c r="E13" s="197"/>
      <c r="F13" s="198"/>
      <c r="J13" s="290" t="s">
        <v>14</v>
      </c>
      <c r="K13" s="224" t="s">
        <v>330</v>
      </c>
      <c r="L13" s="460">
        <v>1000</v>
      </c>
      <c r="M13" s="126" t="s">
        <v>685</v>
      </c>
      <c r="N13" s="291" t="s">
        <v>16</v>
      </c>
      <c r="O13" s="317"/>
      <c r="P13" s="295">
        <v>2.2999999999999998</v>
      </c>
      <c r="Q13" s="167" t="s">
        <v>407</v>
      </c>
      <c r="R13" s="350">
        <f ca="1">'附表13 项目资本金现金流量'!F22</f>
        <v>2.7677960388362468</v>
      </c>
      <c r="S13" s="493" t="s">
        <v>572</v>
      </c>
      <c r="T13" s="311"/>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row>
    <row r="14" spans="2:122" ht="16" customHeight="1">
      <c r="B14" s="182"/>
      <c r="C14" s="192"/>
      <c r="D14" s="199"/>
      <c r="E14" s="185"/>
      <c r="F14" s="186"/>
      <c r="J14" s="290" t="s">
        <v>17</v>
      </c>
      <c r="K14" s="183" t="s">
        <v>766</v>
      </c>
      <c r="L14" s="460">
        <f t="shared" ref="L14:L18" si="0">$L$13*N14</f>
        <v>317.23158379521385</v>
      </c>
      <c r="M14" s="126" t="s">
        <v>685</v>
      </c>
      <c r="N14" s="314">
        <f>W18</f>
        <v>0.31723158379521382</v>
      </c>
      <c r="O14" s="317"/>
      <c r="P14" s="295">
        <v>2.4</v>
      </c>
      <c r="Q14" s="167" t="s">
        <v>406</v>
      </c>
      <c r="R14" s="350">
        <f ca="1">'附表13 项目资本金现金流量'!F23</f>
        <v>2.7677960388362468</v>
      </c>
      <c r="S14" s="165" t="s">
        <v>572</v>
      </c>
      <c r="T14" s="345"/>
    </row>
    <row r="15" spans="2:122" ht="16" customHeight="1">
      <c r="B15" s="189"/>
      <c r="C15" s="183"/>
      <c r="D15" s="199"/>
      <c r="E15" s="185"/>
      <c r="F15" s="200"/>
      <c r="G15" s="201"/>
      <c r="J15" s="290" t="s">
        <v>18</v>
      </c>
      <c r="K15" s="183" t="s">
        <v>740</v>
      </c>
      <c r="L15" s="461">
        <f t="shared" si="0"/>
        <v>317.23158379521385</v>
      </c>
      <c r="M15" s="126" t="s">
        <v>685</v>
      </c>
      <c r="N15" s="314">
        <f>W18</f>
        <v>0.31723158379521382</v>
      </c>
      <c r="O15" s="317"/>
      <c r="P15" s="338"/>
      <c r="Q15" s="167"/>
      <c r="R15" s="167"/>
      <c r="S15" s="167"/>
      <c r="T15" s="345"/>
    </row>
    <row r="16" spans="2:122" ht="16" customHeight="1">
      <c r="B16" s="189"/>
      <c r="C16" s="183"/>
      <c r="D16" s="199"/>
      <c r="E16" s="185"/>
      <c r="F16" s="200"/>
      <c r="G16" s="201"/>
      <c r="J16" s="290" t="s">
        <v>19</v>
      </c>
      <c r="K16" s="183" t="s">
        <v>767</v>
      </c>
      <c r="L16" s="460">
        <f t="shared" si="0"/>
        <v>111.75156537340136</v>
      </c>
      <c r="M16" s="126" t="s">
        <v>685</v>
      </c>
      <c r="N16" s="314">
        <f>1-N14-N15-N17</f>
        <v>0.11175156537340136</v>
      </c>
      <c r="O16" s="317"/>
      <c r="P16" s="286">
        <v>3</v>
      </c>
      <c r="Q16" s="344" t="s">
        <v>409</v>
      </c>
      <c r="R16" s="167"/>
      <c r="S16" s="167"/>
      <c r="T16" s="345"/>
    </row>
    <row r="17" spans="2:23" ht="16" customHeight="1">
      <c r="B17" s="189"/>
      <c r="C17" s="183"/>
      <c r="D17" s="199"/>
      <c r="E17" s="185"/>
      <c r="F17" s="202"/>
      <c r="J17" s="290" t="s">
        <v>20</v>
      </c>
      <c r="K17" s="183" t="s">
        <v>326</v>
      </c>
      <c r="L17" s="460">
        <f t="shared" si="0"/>
        <v>253.78526703617104</v>
      </c>
      <c r="M17" s="126" t="s">
        <v>685</v>
      </c>
      <c r="N17" s="314">
        <f>W19</f>
        <v>0.25378526703617105</v>
      </c>
      <c r="O17" s="317"/>
      <c r="P17" s="287">
        <v>3.1</v>
      </c>
      <c r="Q17" s="167" t="s">
        <v>414</v>
      </c>
      <c r="R17" s="347">
        <f ca="1">'附表7 银行贷款还本付息表'!D31</f>
        <v>2.1203097253386547</v>
      </c>
      <c r="S17" s="167"/>
      <c r="T17" s="345" t="s">
        <v>469</v>
      </c>
    </row>
    <row r="18" spans="2:23" ht="16" customHeight="1">
      <c r="B18" s="189"/>
      <c r="C18" s="183"/>
      <c r="D18" s="199"/>
      <c r="E18" s="185"/>
      <c r="F18" s="202"/>
      <c r="J18" s="290" t="s">
        <v>21</v>
      </c>
      <c r="K18" s="183" t="s">
        <v>329</v>
      </c>
      <c r="L18" s="460">
        <f t="shared" si="0"/>
        <v>0</v>
      </c>
      <c r="M18" s="126" t="s">
        <v>685</v>
      </c>
      <c r="N18" s="314">
        <v>0</v>
      </c>
      <c r="O18" s="317"/>
      <c r="P18" s="287">
        <v>3.2</v>
      </c>
      <c r="Q18" s="167" t="s">
        <v>411</v>
      </c>
      <c r="R18" s="347">
        <f ca="1">'附表7 银行贷款还本付息表'!D32</f>
        <v>0.15265587042373011</v>
      </c>
      <c r="S18" s="167"/>
      <c r="T18" s="345" t="s">
        <v>470</v>
      </c>
      <c r="W18" s="205">
        <f>20000/L12</f>
        <v>0.31723158379521382</v>
      </c>
    </row>
    <row r="19" spans="2:23" ht="16" customHeight="1">
      <c r="B19" s="189"/>
      <c r="C19" s="183"/>
      <c r="D19" s="199"/>
      <c r="E19" s="185"/>
      <c r="F19" s="202"/>
      <c r="J19" s="290" t="s">
        <v>22</v>
      </c>
      <c r="K19" s="224" t="s">
        <v>23</v>
      </c>
      <c r="L19" s="461">
        <f>L12-L13</f>
        <v>62045.424925000007</v>
      </c>
      <c r="M19" s="126" t="s">
        <v>685</v>
      </c>
      <c r="N19" s="291" t="s">
        <v>24</v>
      </c>
      <c r="O19" s="317"/>
      <c r="P19" s="346"/>
      <c r="Q19" s="167"/>
      <c r="R19" s="167"/>
      <c r="S19" s="167"/>
      <c r="T19" s="345"/>
      <c r="W19" s="205">
        <f>16000/L12</f>
        <v>0.25378526703617105</v>
      </c>
    </row>
    <row r="20" spans="2:23" ht="16" customHeight="1">
      <c r="B20" s="189"/>
      <c r="C20" s="183"/>
      <c r="D20" s="199"/>
      <c r="E20" s="185"/>
      <c r="F20" s="200"/>
      <c r="J20" s="290" t="s">
        <v>25</v>
      </c>
      <c r="K20" s="183" t="s">
        <v>766</v>
      </c>
      <c r="L20" s="461">
        <f t="shared" ref="L20:L24" si="1">$L$19*N14</f>
        <v>19682.768416204788</v>
      </c>
      <c r="M20" s="126" t="s">
        <v>685</v>
      </c>
      <c r="N20" s="314">
        <f t="shared" ref="N20:N24" si="2">N14</f>
        <v>0.31723158379521382</v>
      </c>
      <c r="O20" s="317"/>
      <c r="P20" s="286">
        <v>4</v>
      </c>
      <c r="Q20" s="344" t="s">
        <v>417</v>
      </c>
      <c r="R20" s="167"/>
      <c r="S20" s="167"/>
      <c r="T20" s="345"/>
    </row>
    <row r="21" spans="2:23" ht="16" customHeight="1">
      <c r="B21" s="189"/>
      <c r="C21" s="190"/>
      <c r="D21" s="199"/>
      <c r="E21" s="185"/>
      <c r="F21" s="200"/>
      <c r="J21" s="290" t="s">
        <v>26</v>
      </c>
      <c r="K21" s="183" t="s">
        <v>740</v>
      </c>
      <c r="L21" s="461">
        <f t="shared" si="1"/>
        <v>19682.768416204788</v>
      </c>
      <c r="M21" s="126" t="s">
        <v>685</v>
      </c>
      <c r="N21" s="314">
        <f t="shared" si="2"/>
        <v>0.31723158379521382</v>
      </c>
      <c r="O21" s="317"/>
      <c r="P21" s="295" t="s">
        <v>351</v>
      </c>
      <c r="Q21" s="167" t="s">
        <v>316</v>
      </c>
      <c r="R21" s="246">
        <f>'附表14 中信建设现金流量表（优先级）'!D21</f>
        <v>0.05</v>
      </c>
      <c r="S21" s="167"/>
      <c r="T21" s="352">
        <f>'附表14 中信建设现金流量表（优先级）'!E21</f>
        <v>0</v>
      </c>
    </row>
    <row r="22" spans="2:23" ht="16" customHeight="1">
      <c r="B22" s="189"/>
      <c r="C22" s="190"/>
      <c r="D22" s="199"/>
      <c r="E22" s="185"/>
      <c r="F22" s="200"/>
      <c r="J22" s="290" t="s">
        <v>27</v>
      </c>
      <c r="K22" s="183" t="s">
        <v>767</v>
      </c>
      <c r="L22" s="461">
        <f t="shared" si="1"/>
        <v>6933.6733596266049</v>
      </c>
      <c r="M22" s="126" t="s">
        <v>685</v>
      </c>
      <c r="N22" s="314">
        <f t="shared" si="2"/>
        <v>0.11175156537340136</v>
      </c>
      <c r="O22" s="317"/>
      <c r="P22" s="295" t="s">
        <v>267</v>
      </c>
      <c r="Q22" s="167" t="s">
        <v>391</v>
      </c>
      <c r="R22" s="246">
        <f>'附表14 中信建设现金流量表（优先级）'!D22</f>
        <v>1</v>
      </c>
      <c r="S22" s="167"/>
      <c r="T22" s="352">
        <f>'附表14 中信建设现金流量表（优先级）'!E22</f>
        <v>0</v>
      </c>
    </row>
    <row r="23" spans="2:23" ht="16" customHeight="1">
      <c r="B23" s="189"/>
      <c r="C23" s="183"/>
      <c r="D23" s="199"/>
      <c r="E23" s="185"/>
      <c r="F23" s="200"/>
      <c r="J23" s="290" t="s">
        <v>28</v>
      </c>
      <c r="K23" s="183" t="str">
        <f t="shared" ref="K23:K24" si="3">K17</f>
        <v>其中：其他股东</v>
      </c>
      <c r="L23" s="461">
        <f t="shared" si="1"/>
        <v>15746.21473296383</v>
      </c>
      <c r="M23" s="126" t="s">
        <v>685</v>
      </c>
      <c r="N23" s="314">
        <f t="shared" si="2"/>
        <v>0.25378526703617105</v>
      </c>
      <c r="O23" s="317"/>
      <c r="P23" s="295" t="s">
        <v>300</v>
      </c>
      <c r="Q23" s="167" t="s">
        <v>317</v>
      </c>
      <c r="R23" s="349">
        <f ca="1">'附表14 中信建设现金流量表（优先级）'!D23</f>
        <v>0.22291174297030247</v>
      </c>
      <c r="S23" s="167"/>
      <c r="T23" s="352" t="str">
        <f ca="1">'附表14 中信建设现金流量表（优先级）'!E23</f>
        <v>可行</v>
      </c>
    </row>
    <row r="24" spans="2:23" ht="16" customHeight="1">
      <c r="B24" s="189"/>
      <c r="C24" s="183"/>
      <c r="D24" s="199"/>
      <c r="E24" s="185"/>
      <c r="F24" s="200"/>
      <c r="J24" s="290" t="s">
        <v>29</v>
      </c>
      <c r="K24" s="183" t="str">
        <f t="shared" si="3"/>
        <v>其中：其他股东</v>
      </c>
      <c r="L24" s="461">
        <f t="shared" si="1"/>
        <v>0</v>
      </c>
      <c r="M24" s="126" t="s">
        <v>685</v>
      </c>
      <c r="N24" s="314">
        <f t="shared" si="2"/>
        <v>0</v>
      </c>
      <c r="O24" s="317"/>
      <c r="P24" s="295" t="s">
        <v>301</v>
      </c>
      <c r="Q24" s="167" t="s">
        <v>318</v>
      </c>
      <c r="R24" s="347">
        <f ca="1">'附表14 中信建设现金流量表（优先级）'!D24</f>
        <v>2.960404013420276</v>
      </c>
      <c r="S24" s="165" t="s">
        <v>572</v>
      </c>
      <c r="T24" s="352">
        <f>'附表14 中信建设现金流量表（优先级）'!E24</f>
        <v>0</v>
      </c>
    </row>
    <row r="25" spans="2:23" ht="16" customHeight="1">
      <c r="B25" s="189"/>
      <c r="C25" s="190"/>
      <c r="D25" s="199"/>
      <c r="E25" s="185"/>
      <c r="F25" s="200"/>
      <c r="G25" s="203"/>
      <c r="J25" s="286">
        <v>4</v>
      </c>
      <c r="K25" s="225" t="s">
        <v>30</v>
      </c>
      <c r="L25" s="462">
        <f>L4-L12-L29</f>
        <v>43717.55000000001</v>
      </c>
      <c r="M25" s="126" t="s">
        <v>685</v>
      </c>
      <c r="N25" s="366">
        <f>L25/L4</f>
        <v>0.40948231379568784</v>
      </c>
      <c r="O25" s="317"/>
      <c r="P25" s="295" t="s">
        <v>302</v>
      </c>
      <c r="Q25" s="167" t="s">
        <v>393</v>
      </c>
      <c r="R25" s="347">
        <f ca="1">'附表14 中信建设现金流量表（优先级）'!D25</f>
        <v>4764.7210915058204</v>
      </c>
      <c r="S25" s="167"/>
      <c r="T25" s="352" t="str">
        <f ca="1">'附表14 中信建设现金流量表（优先级）'!E25</f>
        <v>可行</v>
      </c>
    </row>
    <row r="26" spans="2:23" ht="16" customHeight="1">
      <c r="B26" s="189"/>
      <c r="C26" s="190"/>
      <c r="D26" s="204"/>
      <c r="E26" s="185"/>
      <c r="F26" s="200"/>
      <c r="G26" s="205"/>
      <c r="J26" s="289">
        <v>4.0999999999999996</v>
      </c>
      <c r="K26" s="222" t="s">
        <v>31</v>
      </c>
      <c r="L26" s="463">
        <f>L4-L12-L29</f>
        <v>43717.55000000001</v>
      </c>
      <c r="M26" s="126" t="s">
        <v>685</v>
      </c>
      <c r="N26" s="311"/>
      <c r="O26" s="317"/>
      <c r="P26" s="295" t="s">
        <v>303</v>
      </c>
      <c r="Q26" s="167" t="s">
        <v>319</v>
      </c>
      <c r="R26" s="347">
        <f>'附表14 中信建设现金流量表（优先级）'!D26</f>
        <v>1220.2576945754718</v>
      </c>
      <c r="S26" s="167"/>
      <c r="T26" s="352">
        <f>'附表14 中信建设现金流量表（优先级）'!E26</f>
        <v>0</v>
      </c>
    </row>
    <row r="27" spans="2:23" ht="16" customHeight="1">
      <c r="B27" s="189"/>
      <c r="C27" s="190"/>
      <c r="D27" s="184"/>
      <c r="E27" s="185"/>
      <c r="F27" s="200"/>
      <c r="J27" s="289">
        <v>4.2</v>
      </c>
      <c r="K27" s="192" t="s">
        <v>322</v>
      </c>
      <c r="L27" s="464">
        <v>0</v>
      </c>
      <c r="M27" s="126" t="s">
        <v>517</v>
      </c>
      <c r="N27" s="292"/>
      <c r="O27" s="317"/>
      <c r="P27" s="295" t="s">
        <v>304</v>
      </c>
      <c r="Q27" s="167" t="s">
        <v>40</v>
      </c>
      <c r="R27" s="347">
        <f ca="1">'附表14 中信建设现金流量表（优先级）'!D27</f>
        <v>6398.6551953160915</v>
      </c>
      <c r="S27" s="167"/>
      <c r="T27" s="352">
        <f>'附表14 中信建设现金流量表（优先级）'!E27</f>
        <v>0</v>
      </c>
    </row>
    <row r="28" spans="2:23" ht="16" customHeight="1">
      <c r="B28" s="189"/>
      <c r="C28" s="190"/>
      <c r="D28" s="184"/>
      <c r="E28" s="185"/>
      <c r="F28" s="200"/>
      <c r="J28" s="289">
        <v>4.3</v>
      </c>
      <c r="K28" s="222" t="s">
        <v>323</v>
      </c>
      <c r="L28" s="464">
        <v>10</v>
      </c>
      <c r="M28" s="126" t="s">
        <v>517</v>
      </c>
      <c r="N28" s="311"/>
      <c r="O28" s="317"/>
      <c r="P28" s="295" t="s">
        <v>305</v>
      </c>
      <c r="Q28" s="167" t="s">
        <v>320</v>
      </c>
      <c r="R28" s="347">
        <f ca="1">'附表14 中信建设现金流量表（优先级）'!D28</f>
        <v>-394.51494424456712</v>
      </c>
      <c r="S28" s="167"/>
      <c r="T28" s="352" t="str">
        <f ca="1">'附表14 中信建设现金流量表（优先级）'!E28</f>
        <v>建设期回收率0.98</v>
      </c>
    </row>
    <row r="29" spans="2:23" ht="16" customHeight="1">
      <c r="B29" s="189"/>
      <c r="C29" s="190"/>
      <c r="D29" s="184"/>
      <c r="E29" s="185"/>
      <c r="F29" s="200"/>
      <c r="J29" s="286">
        <v>4</v>
      </c>
      <c r="K29" s="226" t="s">
        <v>327</v>
      </c>
      <c r="L29" s="465">
        <f>'附表2 投资计划与资金筹措平衡表 '!O21</f>
        <v>0</v>
      </c>
      <c r="M29" s="126" t="s">
        <v>685</v>
      </c>
      <c r="N29" s="368"/>
      <c r="O29" s="317"/>
      <c r="P29" s="346"/>
      <c r="Q29" s="167"/>
      <c r="R29" s="167"/>
      <c r="S29" s="167"/>
      <c r="T29" s="345"/>
    </row>
    <row r="30" spans="2:23" ht="16" customHeight="1">
      <c r="B30" s="177"/>
      <c r="C30" s="206"/>
      <c r="D30" s="207"/>
      <c r="E30" s="180"/>
      <c r="F30" s="208"/>
      <c r="J30" s="286">
        <v>5</v>
      </c>
      <c r="K30" s="226" t="s">
        <v>32</v>
      </c>
      <c r="L30" s="466">
        <v>36</v>
      </c>
      <c r="M30" s="126" t="s">
        <v>517</v>
      </c>
      <c r="N30" s="293"/>
      <c r="O30" s="317"/>
      <c r="P30" s="286">
        <v>5</v>
      </c>
      <c r="Q30" s="344" t="s">
        <v>418</v>
      </c>
      <c r="R30" s="167"/>
      <c r="S30" s="167"/>
      <c r="T30" s="345" t="s">
        <v>427</v>
      </c>
    </row>
    <row r="31" spans="2:23" ht="16" customHeight="1">
      <c r="B31" s="209"/>
      <c r="C31" s="210"/>
      <c r="D31" s="204"/>
      <c r="E31" s="185"/>
      <c r="F31" s="186"/>
      <c r="G31" s="203"/>
      <c r="J31" s="289">
        <v>5.0999999999999996</v>
      </c>
      <c r="K31" s="222" t="s">
        <v>33</v>
      </c>
      <c r="L31" s="464">
        <v>10</v>
      </c>
      <c r="M31" s="126" t="s">
        <v>517</v>
      </c>
      <c r="N31" s="291"/>
      <c r="O31" s="317"/>
      <c r="P31" s="295" t="s">
        <v>419</v>
      </c>
      <c r="Q31" s="167" t="s">
        <v>420</v>
      </c>
      <c r="R31" s="349"/>
      <c r="S31" s="167"/>
      <c r="T31" s="345"/>
    </row>
    <row r="32" spans="2:23" ht="16" customHeight="1">
      <c r="B32" s="209"/>
      <c r="C32" s="210"/>
      <c r="D32" s="204"/>
      <c r="E32" s="185"/>
      <c r="F32" s="186"/>
      <c r="G32" s="203"/>
      <c r="J32" s="289">
        <v>5.2</v>
      </c>
      <c r="K32" s="222" t="s">
        <v>34</v>
      </c>
      <c r="L32" s="464">
        <v>10</v>
      </c>
      <c r="M32" s="126" t="s">
        <v>517</v>
      </c>
      <c r="N32" s="311"/>
      <c r="O32" s="317"/>
      <c r="P32" s="295" t="s">
        <v>268</v>
      </c>
      <c r="Q32" s="167" t="s">
        <v>421</v>
      </c>
      <c r="R32" s="347">
        <f>R34+R33</f>
        <v>327.39014400000008</v>
      </c>
      <c r="S32" s="167"/>
      <c r="T32" s="345"/>
    </row>
    <row r="33" spans="2:20" ht="16" customHeight="1">
      <c r="B33" s="209"/>
      <c r="C33" s="210"/>
      <c r="D33" s="204"/>
      <c r="E33" s="185"/>
      <c r="F33" s="186"/>
      <c r="G33" s="203"/>
      <c r="J33" s="286">
        <v>6</v>
      </c>
      <c r="K33" s="225" t="s">
        <v>35</v>
      </c>
      <c r="L33" s="221" t="s">
        <v>8</v>
      </c>
      <c r="M33" s="126"/>
      <c r="N33" s="311"/>
      <c r="O33" s="317"/>
      <c r="P33" s="295" t="s">
        <v>269</v>
      </c>
      <c r="Q33" s="167" t="s">
        <v>422</v>
      </c>
      <c r="R33" s="347">
        <f>AVERAGE('5.1运营成本明细表'!Q3:Z3)</f>
        <v>327.39014400000008</v>
      </c>
      <c r="S33" s="126" t="s">
        <v>685</v>
      </c>
      <c r="T33" s="345"/>
    </row>
    <row r="34" spans="2:20" ht="16" customHeight="1">
      <c r="B34" s="209"/>
      <c r="C34" s="210"/>
      <c r="D34" s="204"/>
      <c r="E34" s="185"/>
      <c r="F34" s="186"/>
      <c r="G34" s="203"/>
      <c r="J34" s="289">
        <v>6.1</v>
      </c>
      <c r="K34" s="192" t="s">
        <v>36</v>
      </c>
      <c r="L34" s="227">
        <v>1.4999999999999999E-2</v>
      </c>
      <c r="M34" s="126" t="s">
        <v>517</v>
      </c>
      <c r="N34" s="311"/>
      <c r="O34" s="317"/>
      <c r="P34" s="295" t="s">
        <v>424</v>
      </c>
      <c r="Q34" s="167" t="s">
        <v>423</v>
      </c>
      <c r="R34" s="347">
        <f>R33*R31</f>
        <v>0</v>
      </c>
      <c r="S34" s="126" t="s">
        <v>685</v>
      </c>
      <c r="T34" s="345"/>
    </row>
    <row r="35" spans="2:20" ht="16" customHeight="1">
      <c r="B35" s="209"/>
      <c r="C35" s="210"/>
      <c r="D35" s="204"/>
      <c r="E35" s="185"/>
      <c r="F35" s="186"/>
      <c r="G35" s="203"/>
      <c r="J35" s="289">
        <v>6.2</v>
      </c>
      <c r="K35" s="192" t="s">
        <v>37</v>
      </c>
      <c r="L35" s="227">
        <v>8.0000000000000002E-3</v>
      </c>
      <c r="M35" s="126" t="s">
        <v>517</v>
      </c>
      <c r="N35" s="311"/>
      <c r="O35" s="317"/>
      <c r="P35" s="295" t="s">
        <v>425</v>
      </c>
      <c r="Q35" s="167" t="s">
        <v>426</v>
      </c>
      <c r="R35" s="246">
        <f>R32/R33</f>
        <v>1</v>
      </c>
      <c r="S35" s="167"/>
      <c r="T35" s="345"/>
    </row>
    <row r="36" spans="2:20" ht="16" customHeight="1">
      <c r="B36" s="209"/>
      <c r="C36" s="210"/>
      <c r="D36" s="204"/>
      <c r="E36" s="185"/>
      <c r="F36" s="186"/>
      <c r="J36" s="289">
        <v>6.3</v>
      </c>
      <c r="K36" s="192" t="s">
        <v>741</v>
      </c>
      <c r="L36" s="227">
        <v>3.7499999999999999E-2</v>
      </c>
      <c r="M36" s="126" t="s">
        <v>517</v>
      </c>
      <c r="O36" s="317"/>
      <c r="P36" s="346"/>
      <c r="Q36" s="167"/>
      <c r="R36" s="167"/>
      <c r="S36" s="167"/>
      <c r="T36" s="345"/>
    </row>
    <row r="37" spans="2:20" ht="16" customHeight="1">
      <c r="B37" s="177"/>
      <c r="C37" s="206"/>
      <c r="D37" s="211"/>
      <c r="E37" s="180"/>
      <c r="F37" s="208"/>
      <c r="J37" s="286">
        <v>7</v>
      </c>
      <c r="K37" s="226" t="s">
        <v>362</v>
      </c>
      <c r="L37" s="221" t="s">
        <v>8</v>
      </c>
      <c r="M37" s="301"/>
      <c r="N37" s="314"/>
      <c r="O37" s="317"/>
      <c r="P37" s="286">
        <v>6</v>
      </c>
      <c r="Q37" s="344" t="s">
        <v>746</v>
      </c>
      <c r="R37" s="167"/>
      <c r="S37" s="167"/>
      <c r="T37" s="345"/>
    </row>
    <row r="38" spans="2:20" ht="16" customHeight="1">
      <c r="B38" s="209"/>
      <c r="C38" s="192"/>
      <c r="D38" s="193"/>
      <c r="E38" s="185"/>
      <c r="F38" s="212"/>
      <c r="J38" s="289">
        <v>7.1</v>
      </c>
      <c r="K38" s="192" t="s">
        <v>520</v>
      </c>
      <c r="L38" s="221" t="s">
        <v>8</v>
      </c>
      <c r="M38" s="126"/>
      <c r="N38" s="365" t="s">
        <v>468</v>
      </c>
      <c r="O38" s="317"/>
      <c r="P38" s="295" t="s">
        <v>428</v>
      </c>
      <c r="Q38" s="167" t="s">
        <v>747</v>
      </c>
      <c r="R38" s="492">
        <f ca="1">'附表16五江现金流量表（劣后级）'!D24</f>
        <v>-0.13034850100391138</v>
      </c>
      <c r="S38" s="126"/>
      <c r="T38" s="345"/>
    </row>
    <row r="39" spans="2:20" ht="16" customHeight="1">
      <c r="B39" s="209"/>
      <c r="C39" s="192"/>
      <c r="D39" s="193"/>
      <c r="E39" s="185"/>
      <c r="F39" s="186"/>
      <c r="J39" s="290" t="s">
        <v>38</v>
      </c>
      <c r="K39" s="183" t="s">
        <v>521</v>
      </c>
      <c r="L39" s="227">
        <v>0.09</v>
      </c>
      <c r="M39" s="126"/>
      <c r="N39" s="315"/>
      <c r="O39" s="317"/>
      <c r="P39" s="295" t="s">
        <v>271</v>
      </c>
      <c r="Q39" s="167" t="s">
        <v>748</v>
      </c>
      <c r="R39" s="347" t="e">
        <f ca="1">'附表16五江现金流量表（劣后级）'!D25</f>
        <v>#REF!</v>
      </c>
      <c r="S39" s="126" t="s">
        <v>571</v>
      </c>
      <c r="T39" s="345"/>
    </row>
    <row r="40" spans="2:20" ht="16" customHeight="1">
      <c r="B40" s="209"/>
      <c r="C40" s="192"/>
      <c r="D40" s="193"/>
      <c r="E40" s="185"/>
      <c r="F40" s="186"/>
      <c r="J40" s="290" t="s">
        <v>39</v>
      </c>
      <c r="K40" s="183" t="s">
        <v>363</v>
      </c>
      <c r="L40" s="227">
        <v>0.06</v>
      </c>
      <c r="M40" s="126"/>
      <c r="N40" s="315"/>
      <c r="O40" s="317"/>
      <c r="P40" s="295" t="s">
        <v>285</v>
      </c>
      <c r="Q40" s="167" t="s">
        <v>749</v>
      </c>
      <c r="R40" s="457">
        <f ca="1">'附表16五江现金流量表（劣后级）'!D26</f>
        <v>-12048.1279062267</v>
      </c>
      <c r="S40" s="126" t="s">
        <v>685</v>
      </c>
      <c r="T40" s="345"/>
    </row>
    <row r="41" spans="2:20" ht="16" customHeight="1">
      <c r="B41" s="209"/>
      <c r="C41" s="192"/>
      <c r="D41" s="193"/>
      <c r="E41" s="185"/>
      <c r="F41" s="186"/>
      <c r="J41" s="289">
        <v>7.3</v>
      </c>
      <c r="K41" s="224" t="s">
        <v>536</v>
      </c>
      <c r="L41" s="227">
        <v>0.25</v>
      </c>
      <c r="M41" s="362"/>
      <c r="N41" s="316" t="s">
        <v>367</v>
      </c>
      <c r="O41" s="317"/>
      <c r="P41" s="295"/>
    </row>
    <row r="42" spans="2:20" ht="16" hidden="1" customHeight="1">
      <c r="B42" s="209"/>
      <c r="C42" s="192"/>
      <c r="D42" s="193"/>
      <c r="E42" s="185"/>
      <c r="F42" s="186"/>
      <c r="L42" s="227"/>
      <c r="M42" s="126"/>
      <c r="N42" s="379"/>
      <c r="O42" s="317"/>
      <c r="P42" s="295"/>
      <c r="Q42" s="167"/>
      <c r="R42" s="347"/>
      <c r="S42" s="167"/>
      <c r="T42" s="345"/>
    </row>
    <row r="43" spans="2:20" ht="16" hidden="1" customHeight="1">
      <c r="B43" s="209"/>
      <c r="C43" s="192"/>
      <c r="D43" s="193"/>
      <c r="E43" s="185"/>
      <c r="F43" s="186"/>
      <c r="J43" s="295"/>
      <c r="K43" s="192"/>
      <c r="L43" s="227"/>
      <c r="M43" s="126"/>
      <c r="N43" s="379"/>
      <c r="O43" s="317"/>
      <c r="P43" s="295"/>
      <c r="Q43" s="167"/>
      <c r="R43" s="349"/>
      <c r="S43" s="167"/>
      <c r="T43" s="345"/>
    </row>
    <row r="44" spans="2:20" ht="16" hidden="1" customHeight="1">
      <c r="B44" s="209"/>
      <c r="C44" s="192"/>
      <c r="D44" s="193"/>
      <c r="E44" s="185"/>
      <c r="F44" s="186"/>
      <c r="J44" s="452"/>
      <c r="L44" s="453"/>
      <c r="M44" s="112"/>
      <c r="N44" s="454"/>
      <c r="O44" s="317"/>
      <c r="P44" s="286"/>
    </row>
    <row r="45" spans="2:20" ht="16" hidden="1" customHeight="1">
      <c r="B45" s="209"/>
      <c r="C45" s="192"/>
      <c r="D45" s="193"/>
      <c r="E45" s="185"/>
      <c r="F45" s="186"/>
      <c r="J45" s="452"/>
      <c r="L45" s="453"/>
      <c r="M45" s="112"/>
      <c r="N45" s="454"/>
      <c r="O45" s="317"/>
    </row>
    <row r="46" spans="2:20" ht="16" hidden="1" customHeight="1">
      <c r="B46" s="209"/>
      <c r="C46" s="192"/>
      <c r="D46" s="199"/>
      <c r="E46" s="185"/>
      <c r="F46" s="186"/>
      <c r="O46" s="317"/>
    </row>
    <row r="47" spans="2:20" ht="16" hidden="1" customHeight="1">
      <c r="B47" s="177"/>
      <c r="C47" s="206"/>
      <c r="D47" s="211"/>
      <c r="E47" s="180"/>
      <c r="F47" s="208"/>
      <c r="O47" s="317"/>
    </row>
    <row r="48" spans="2:20" ht="16" hidden="1" customHeight="1">
      <c r="B48" s="209"/>
      <c r="C48" s="210"/>
      <c r="D48" s="184"/>
      <c r="E48" s="185"/>
      <c r="F48" s="186"/>
      <c r="O48" s="317"/>
    </row>
    <row r="49" spans="2:87" ht="16" hidden="1" customHeight="1">
      <c r="B49" s="209"/>
      <c r="C49" s="210"/>
      <c r="D49" s="184"/>
      <c r="E49" s="185"/>
      <c r="F49" s="186"/>
      <c r="O49" s="317"/>
    </row>
    <row r="50" spans="2:87" ht="16" hidden="1" customHeight="1">
      <c r="B50" s="189"/>
      <c r="C50" s="210"/>
      <c r="D50" s="193"/>
      <c r="E50" s="185"/>
      <c r="F50" s="186"/>
      <c r="O50" s="317"/>
    </row>
    <row r="51" spans="2:87" ht="16" customHeight="1">
      <c r="B51" s="189"/>
      <c r="C51" s="210"/>
      <c r="D51" s="193"/>
      <c r="E51" s="185"/>
      <c r="F51" s="186"/>
      <c r="J51" s="286">
        <v>8</v>
      </c>
      <c r="K51" s="225" t="s">
        <v>522</v>
      </c>
      <c r="L51" s="227"/>
      <c r="M51" s="299"/>
      <c r="O51" s="317"/>
      <c r="P51" s="286">
        <v>7</v>
      </c>
      <c r="Q51" s="344" t="s">
        <v>432</v>
      </c>
      <c r="R51" s="167"/>
      <c r="S51" s="167"/>
      <c r="T51" s="345"/>
    </row>
    <row r="52" spans="2:87" ht="16" customHeight="1">
      <c r="B52" s="177"/>
      <c r="C52" s="192"/>
      <c r="D52" s="193"/>
      <c r="E52" s="185"/>
      <c r="F52" s="186"/>
      <c r="J52" s="289">
        <v>8.3000000000000007</v>
      </c>
      <c r="K52" s="183" t="s">
        <v>476</v>
      </c>
      <c r="L52" s="227">
        <v>1</v>
      </c>
      <c r="M52" s="299"/>
      <c r="N52" s="314"/>
      <c r="O52" s="317"/>
      <c r="P52" s="295" t="s">
        <v>353</v>
      </c>
      <c r="Q52" s="224" t="s">
        <v>434</v>
      </c>
      <c r="R52" s="347" t="e">
        <f>#REF!</f>
        <v>#REF!</v>
      </c>
      <c r="S52" s="126" t="s">
        <v>685</v>
      </c>
      <c r="T52" s="345"/>
    </row>
    <row r="53" spans="2:87" s="172" customFormat="1" ht="16" customHeight="1">
      <c r="B53" s="213"/>
      <c r="C53" s="195"/>
      <c r="D53" s="214"/>
      <c r="E53" s="197"/>
      <c r="F53" s="198"/>
      <c r="J53" s="289">
        <v>8.4</v>
      </c>
      <c r="K53" s="183" t="s">
        <v>475</v>
      </c>
      <c r="L53" s="227">
        <v>0.05</v>
      </c>
      <c r="M53" s="299"/>
      <c r="N53" s="317"/>
      <c r="O53" s="317"/>
      <c r="P53" s="295" t="s">
        <v>354</v>
      </c>
      <c r="Q53" s="224" t="s">
        <v>435</v>
      </c>
      <c r="R53" s="347" t="e">
        <f>#REF!</f>
        <v>#REF!</v>
      </c>
      <c r="S53" s="126" t="s">
        <v>685</v>
      </c>
      <c r="T53" s="345"/>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row>
    <row r="54" spans="2:87" s="172" customFormat="1" ht="16" customHeight="1">
      <c r="B54" s="215"/>
      <c r="C54" s="216"/>
      <c r="D54" s="217"/>
      <c r="E54" s="218"/>
      <c r="F54" s="219"/>
      <c r="J54" s="286">
        <v>9</v>
      </c>
      <c r="K54" s="639" t="s">
        <v>758</v>
      </c>
      <c r="L54" s="228"/>
      <c r="M54" s="299"/>
      <c r="N54" s="317"/>
      <c r="O54" s="317"/>
      <c r="P54" s="295" t="s">
        <v>433</v>
      </c>
      <c r="Q54" s="224" t="s">
        <v>436</v>
      </c>
      <c r="R54" s="347" t="e">
        <f>#REF!</f>
        <v>#REF!</v>
      </c>
      <c r="S54" s="126" t="s">
        <v>685</v>
      </c>
      <c r="T54" s="340"/>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row>
    <row r="55" spans="2:87" s="172" customFormat="1" ht="16" customHeight="1">
      <c r="B55" s="215"/>
      <c r="C55" s="216"/>
      <c r="D55" s="217"/>
      <c r="E55" s="218"/>
      <c r="F55" s="219"/>
      <c r="J55" s="295" t="s">
        <v>557</v>
      </c>
      <c r="K55" s="183" t="s">
        <v>674</v>
      </c>
      <c r="L55" s="228">
        <v>11500</v>
      </c>
      <c r="M55" s="455" t="s">
        <v>686</v>
      </c>
      <c r="N55" s="317"/>
      <c r="O55" s="317"/>
      <c r="P55" s="295" t="s">
        <v>355</v>
      </c>
      <c r="Q55" s="359" t="s">
        <v>437</v>
      </c>
      <c r="R55" s="360">
        <f ca="1">AVERAGE(附表9利润表!N12:W12)/'0基本假设 '!L4</f>
        <v>1.0989694915656923E-2</v>
      </c>
      <c r="S55" s="339"/>
      <c r="T55" s="361" t="s">
        <v>438</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row>
    <row r="56" spans="2:87" s="172" customFormat="1" ht="16" customHeight="1">
      <c r="B56" s="215"/>
      <c r="C56" s="216"/>
      <c r="D56" s="217"/>
      <c r="E56" s="218"/>
      <c r="F56" s="219"/>
      <c r="J56" s="295" t="s">
        <v>558</v>
      </c>
      <c r="K56" s="183" t="s">
        <v>675</v>
      </c>
      <c r="L56" s="228">
        <v>18000</v>
      </c>
      <c r="M56" s="455" t="s">
        <v>686</v>
      </c>
      <c r="N56" s="317"/>
      <c r="O56" s="317"/>
      <c r="P56" s="295" t="s">
        <v>308</v>
      </c>
      <c r="Q56" s="167" t="s">
        <v>439</v>
      </c>
      <c r="R56" s="360" t="e">
        <f ca="1">AVERAGE(附表9利润表!N12:W12)/AVERAGE(#REF!)</f>
        <v>#REF!</v>
      </c>
      <c r="S56" s="167"/>
      <c r="T56" s="345" t="s">
        <v>442</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row>
    <row r="57" spans="2:87">
      <c r="J57" s="295" t="s">
        <v>559</v>
      </c>
      <c r="K57" s="183" t="s">
        <v>676</v>
      </c>
      <c r="L57" s="228">
        <v>120000</v>
      </c>
      <c r="M57" s="455" t="s">
        <v>686</v>
      </c>
      <c r="N57" s="294"/>
      <c r="O57" s="317"/>
      <c r="P57" s="295" t="s">
        <v>440</v>
      </c>
      <c r="Q57" s="167" t="s">
        <v>441</v>
      </c>
      <c r="R57" s="360">
        <f ca="1">AVERAGE(附表9利润表!N12:W12)/'0基本假设 '!L12</f>
        <v>1.8610272261777132E-2</v>
      </c>
      <c r="S57" s="167"/>
      <c r="T57" s="345" t="s">
        <v>443</v>
      </c>
    </row>
    <row r="58" spans="2:87">
      <c r="J58" s="295" t="s">
        <v>560</v>
      </c>
      <c r="K58" s="183" t="s">
        <v>756</v>
      </c>
      <c r="L58" s="228">
        <v>3300</v>
      </c>
      <c r="M58" s="455"/>
      <c r="N58" s="294"/>
      <c r="O58" s="317"/>
      <c r="P58" s="286">
        <v>8</v>
      </c>
      <c r="Q58" s="344" t="s">
        <v>445</v>
      </c>
      <c r="R58" s="167"/>
      <c r="S58" s="167"/>
      <c r="T58" s="345" t="s">
        <v>444</v>
      </c>
    </row>
    <row r="59" spans="2:87">
      <c r="J59" s="295" t="s">
        <v>561</v>
      </c>
      <c r="K59" s="183" t="s">
        <v>757</v>
      </c>
      <c r="L59" s="228">
        <v>3600</v>
      </c>
      <c r="M59" s="455"/>
      <c r="N59" s="294"/>
      <c r="O59" s="317"/>
      <c r="P59" s="714"/>
      <c r="Q59" s="715"/>
      <c r="R59" s="715"/>
      <c r="S59" s="715"/>
      <c r="T59" s="716"/>
    </row>
    <row r="60" spans="2:87">
      <c r="J60" s="295" t="s">
        <v>562</v>
      </c>
      <c r="K60" s="183" t="s">
        <v>759</v>
      </c>
      <c r="L60" s="228">
        <v>50000</v>
      </c>
      <c r="M60" s="455" t="s">
        <v>760</v>
      </c>
      <c r="N60" s="294"/>
      <c r="O60" s="317"/>
      <c r="P60" s="717"/>
      <c r="Q60" s="718"/>
      <c r="R60" s="718"/>
      <c r="S60" s="718"/>
      <c r="T60" s="719"/>
    </row>
    <row r="61" spans="2:87">
      <c r="J61" s="295" t="s">
        <v>563</v>
      </c>
      <c r="K61" s="183"/>
      <c r="L61" s="228"/>
      <c r="M61" s="455"/>
      <c r="N61" s="294"/>
      <c r="O61" s="317"/>
      <c r="P61" s="717"/>
      <c r="Q61" s="718"/>
      <c r="R61" s="718"/>
      <c r="S61" s="718"/>
      <c r="T61" s="719"/>
    </row>
    <row r="62" spans="2:87">
      <c r="J62" s="295" t="s">
        <v>564</v>
      </c>
      <c r="K62" s="183"/>
      <c r="L62" s="228"/>
      <c r="M62" s="455"/>
      <c r="N62" s="294"/>
      <c r="O62" s="317"/>
      <c r="P62" s="717"/>
      <c r="Q62" s="718"/>
      <c r="R62" s="718"/>
      <c r="S62" s="718"/>
      <c r="T62" s="719"/>
    </row>
    <row r="63" spans="2:87">
      <c r="J63" s="295" t="s">
        <v>565</v>
      </c>
      <c r="K63" s="183"/>
      <c r="L63" s="228"/>
      <c r="M63" s="455"/>
      <c r="N63" s="294"/>
      <c r="O63" s="317"/>
      <c r="P63" s="717"/>
      <c r="Q63" s="718"/>
      <c r="R63" s="718"/>
      <c r="S63" s="718"/>
      <c r="T63" s="719"/>
    </row>
    <row r="64" spans="2:87">
      <c r="J64" s="295" t="s">
        <v>566</v>
      </c>
      <c r="K64" s="183"/>
      <c r="L64" s="228"/>
      <c r="M64" s="455"/>
      <c r="N64" s="294"/>
      <c r="O64" s="317"/>
      <c r="P64" s="717"/>
      <c r="Q64" s="718"/>
      <c r="R64" s="718"/>
      <c r="S64" s="718"/>
      <c r="T64" s="719"/>
    </row>
    <row r="65" spans="10:20">
      <c r="J65" s="295" t="s">
        <v>567</v>
      </c>
      <c r="K65" s="183"/>
      <c r="L65" s="228"/>
      <c r="M65" s="455"/>
      <c r="N65" s="294"/>
      <c r="O65" s="317"/>
      <c r="P65" s="717"/>
      <c r="Q65" s="718"/>
      <c r="R65" s="718"/>
      <c r="S65" s="718"/>
      <c r="T65" s="719"/>
    </row>
    <row r="66" spans="10:20">
      <c r="N66" s="294"/>
      <c r="O66" s="317"/>
      <c r="P66" s="717"/>
      <c r="Q66" s="718"/>
      <c r="R66" s="718"/>
      <c r="S66" s="718"/>
      <c r="T66" s="719"/>
    </row>
    <row r="67" spans="10:20">
      <c r="N67" s="294"/>
      <c r="O67" s="317"/>
      <c r="P67" s="717"/>
      <c r="Q67" s="718"/>
      <c r="R67" s="718"/>
      <c r="S67" s="718"/>
      <c r="T67" s="719"/>
    </row>
    <row r="68" spans="10:20">
      <c r="N68" s="294"/>
      <c r="O68" s="317"/>
      <c r="P68" s="717"/>
      <c r="Q68" s="718"/>
      <c r="R68" s="718"/>
      <c r="S68" s="718"/>
      <c r="T68" s="719"/>
    </row>
    <row r="69" spans="10:20">
      <c r="J69" s="295"/>
      <c r="K69" s="183"/>
      <c r="L69" s="228"/>
      <c r="M69" s="299"/>
      <c r="N69" s="294"/>
      <c r="O69" s="317"/>
      <c r="P69" s="717"/>
      <c r="Q69" s="718"/>
      <c r="R69" s="718"/>
      <c r="S69" s="718"/>
      <c r="T69" s="719"/>
    </row>
    <row r="70" spans="10:20">
      <c r="J70" s="295"/>
      <c r="K70" s="183"/>
      <c r="L70" s="307"/>
      <c r="M70" s="299"/>
      <c r="N70" s="300"/>
      <c r="O70" s="317"/>
      <c r="P70" s="717"/>
      <c r="Q70" s="718"/>
      <c r="R70" s="718"/>
      <c r="S70" s="718"/>
      <c r="T70" s="719"/>
    </row>
    <row r="71" spans="10:20">
      <c r="J71" s="295"/>
      <c r="K71" s="183"/>
      <c r="L71" s="307"/>
      <c r="M71" s="299"/>
      <c r="N71" s="300"/>
      <c r="O71" s="317"/>
      <c r="P71" s="717"/>
      <c r="Q71" s="718"/>
      <c r="R71" s="718"/>
      <c r="S71" s="718"/>
      <c r="T71" s="719"/>
    </row>
    <row r="72" spans="10:20">
      <c r="J72" s="295"/>
      <c r="K72" s="183"/>
      <c r="L72" s="228"/>
      <c r="M72" s="299"/>
      <c r="N72" s="294"/>
      <c r="O72" s="317"/>
      <c r="P72" s="717"/>
      <c r="Q72" s="718"/>
      <c r="R72" s="718"/>
      <c r="S72" s="718"/>
      <c r="T72" s="719"/>
    </row>
    <row r="73" spans="10:20">
      <c r="J73" s="295"/>
      <c r="K73" s="183"/>
      <c r="L73" s="228"/>
      <c r="M73" s="299"/>
      <c r="N73" s="294"/>
      <c r="O73" s="317"/>
      <c r="P73" s="717"/>
      <c r="Q73" s="718"/>
      <c r="R73" s="718"/>
      <c r="S73" s="718"/>
      <c r="T73" s="719"/>
    </row>
    <row r="74" spans="10:20">
      <c r="J74" s="295"/>
      <c r="K74" s="183"/>
      <c r="L74" s="384"/>
      <c r="M74" s="299"/>
      <c r="N74" s="294"/>
      <c r="O74" s="317"/>
      <c r="P74" s="717"/>
      <c r="Q74" s="718"/>
      <c r="R74" s="718"/>
      <c r="S74" s="718"/>
      <c r="T74" s="719"/>
    </row>
    <row r="75" spans="10:20" hidden="1">
      <c r="J75" s="286"/>
      <c r="K75" s="226"/>
      <c r="L75" s="227"/>
      <c r="M75" s="299"/>
      <c r="N75" s="317"/>
      <c r="O75" s="317"/>
      <c r="P75" s="717"/>
      <c r="Q75" s="718"/>
      <c r="R75" s="718"/>
      <c r="S75" s="718"/>
      <c r="T75" s="719"/>
    </row>
    <row r="76" spans="10:20" hidden="1">
      <c r="J76" s="289"/>
      <c r="K76" s="183"/>
      <c r="L76" s="228"/>
      <c r="M76" s="363"/>
      <c r="N76" s="300"/>
      <c r="O76" s="317"/>
      <c r="P76" s="717"/>
      <c r="Q76" s="718"/>
      <c r="R76" s="718"/>
      <c r="S76" s="718"/>
      <c r="T76" s="719"/>
    </row>
    <row r="77" spans="10:20" hidden="1">
      <c r="J77" s="289"/>
      <c r="K77" s="183"/>
      <c r="L77" s="228"/>
      <c r="M77" s="363"/>
      <c r="N77" s="300"/>
      <c r="O77" s="317"/>
      <c r="P77" s="717"/>
      <c r="Q77" s="718"/>
      <c r="R77" s="718"/>
      <c r="S77" s="718"/>
      <c r="T77" s="719"/>
    </row>
    <row r="78" spans="10:20" hidden="1">
      <c r="J78" s="289"/>
      <c r="K78" s="183"/>
      <c r="L78" s="228"/>
      <c r="M78" s="363"/>
      <c r="N78" s="300"/>
      <c r="O78" s="317"/>
      <c r="P78" s="717"/>
      <c r="Q78" s="718"/>
      <c r="R78" s="718"/>
      <c r="S78" s="718"/>
      <c r="T78" s="719"/>
    </row>
    <row r="79" spans="10:20" hidden="1">
      <c r="J79" s="296"/>
      <c r="K79" s="297"/>
      <c r="L79" s="298"/>
      <c r="M79" s="364"/>
      <c r="N79" s="318"/>
      <c r="O79" s="317"/>
      <c r="P79" s="720"/>
      <c r="Q79" s="721"/>
      <c r="R79" s="721"/>
      <c r="S79" s="721"/>
      <c r="T79" s="722"/>
    </row>
    <row r="81" spans="10:12" ht="15">
      <c r="J81" s="469" t="s">
        <v>554</v>
      </c>
      <c r="K81" s="470"/>
      <c r="L81"/>
    </row>
  </sheetData>
  <mergeCells count="5">
    <mergeCell ref="J1:N1"/>
    <mergeCell ref="J2:N2"/>
    <mergeCell ref="P2:T2"/>
    <mergeCell ref="P1:T1"/>
    <mergeCell ref="P59:T79"/>
  </mergeCells>
  <phoneticPr fontId="27" type="noConversion"/>
  <hyperlinks>
    <hyperlink ref="J81" location="目录!A1" display="点击返回目录"/>
  </hyperlinks>
  <pageMargins left="0.69930555555555596" right="0.69930555555555596" top="0.75" bottom="0.75" header="0.3" footer="0.3"/>
  <pageSetup paperSize="9" scale="46"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7"/>
  <sheetViews>
    <sheetView topLeftCell="A13" zoomScale="80" zoomScaleNormal="80" zoomScaleSheetLayoutView="85" workbookViewId="0">
      <selection activeCell="J10" sqref="J10"/>
    </sheetView>
  </sheetViews>
  <sheetFormatPr defaultColWidth="9" defaultRowHeight="18" customHeight="1" outlineLevelRow="1"/>
  <cols>
    <col min="1" max="1" width="9" style="147"/>
    <col min="2" max="2" width="14.7265625" style="102" customWidth="1"/>
    <col min="3" max="3" width="19.7265625" style="102" hidden="1" customWidth="1"/>
    <col min="4" max="4" width="17.6328125" style="102" customWidth="1"/>
    <col min="5" max="5" width="17.08984375" style="102" hidden="1" customWidth="1"/>
    <col min="6" max="6" width="15.08984375" style="147" customWidth="1"/>
    <col min="7" max="7" width="16.6328125" style="102" customWidth="1"/>
    <col min="8" max="8" width="9.453125" style="102" customWidth="1"/>
    <col min="9" max="9" width="12.08984375" style="102" customWidth="1"/>
    <col min="10" max="10" width="11.08984375" style="102" customWidth="1"/>
    <col min="11" max="11" width="27" style="102" hidden="1" customWidth="1"/>
    <col min="12" max="13" width="9" style="102" hidden="1" customWidth="1"/>
    <col min="14" max="16384" width="9" style="102"/>
  </cols>
  <sheetData>
    <row r="1" spans="1:15" ht="30" customHeight="1">
      <c r="A1" s="723" t="s">
        <v>719</v>
      </c>
      <c r="B1" s="724"/>
      <c r="C1" s="724"/>
      <c r="D1" s="724"/>
      <c r="E1" s="724"/>
      <c r="F1" s="724"/>
      <c r="G1" s="725"/>
      <c r="H1" s="726"/>
      <c r="I1" s="726"/>
      <c r="J1" s="726"/>
    </row>
    <row r="2" spans="1:15" s="147" customFormat="1" ht="25.5" customHeight="1">
      <c r="A2" s="148" t="s">
        <v>41</v>
      </c>
      <c r="B2" s="148" t="s">
        <v>42</v>
      </c>
      <c r="C2" s="148" t="s">
        <v>358</v>
      </c>
      <c r="D2" s="148" t="s">
        <v>500</v>
      </c>
      <c r="E2" s="148" t="s">
        <v>359</v>
      </c>
      <c r="F2" s="148" t="s">
        <v>43</v>
      </c>
      <c r="G2" s="148" t="s">
        <v>44</v>
      </c>
    </row>
    <row r="3" spans="1:15" s="103" customFormat="1" ht="18" customHeight="1">
      <c r="A3" s="549">
        <v>1</v>
      </c>
      <c r="B3" s="302" t="s">
        <v>45</v>
      </c>
      <c r="C3" s="150">
        <f>SUM(C4:C15)</f>
        <v>0</v>
      </c>
      <c r="D3" s="401">
        <f t="shared" ref="D3:E3" si="0">SUM(D4:D15)</f>
        <v>103549.73500000002</v>
      </c>
      <c r="E3" s="401">
        <f t="shared" si="0"/>
        <v>0</v>
      </c>
      <c r="F3" s="402">
        <f>F4+F12+F15</f>
        <v>103549.73500000002</v>
      </c>
      <c r="G3" s="151"/>
      <c r="H3" s="168"/>
      <c r="I3" s="169"/>
      <c r="J3" s="169"/>
      <c r="K3" s="169"/>
      <c r="L3" s="169"/>
      <c r="M3" s="169"/>
      <c r="N3" s="169"/>
      <c r="O3" s="169"/>
    </row>
    <row r="4" spans="1:15" ht="18" customHeight="1">
      <c r="A4" s="550">
        <v>1.1000000000000001</v>
      </c>
      <c r="B4" s="303" t="s">
        <v>9</v>
      </c>
      <c r="C4" s="154">
        <f>'附表1.1 总投资估算（明细）'!H6</f>
        <v>0</v>
      </c>
      <c r="D4" s="403">
        <f>'附表1.1 总投资估算（明细）'!H16</f>
        <v>40597.550000000003</v>
      </c>
      <c r="E4" s="403">
        <f>'附表1.1 总投资估算（明细）'!H26</f>
        <v>0</v>
      </c>
      <c r="F4" s="402">
        <f>'附表1.1 总投资估算（明细）'!H4</f>
        <v>40597.550000000003</v>
      </c>
      <c r="G4" s="155"/>
      <c r="H4" s="168"/>
      <c r="I4" s="147"/>
      <c r="J4" s="147"/>
      <c r="K4" s="147"/>
      <c r="L4" s="147"/>
      <c r="M4" s="147"/>
      <c r="N4" s="147"/>
      <c r="O4" s="147"/>
    </row>
    <row r="5" spans="1:15" ht="18" customHeight="1" outlineLevel="1">
      <c r="A5" s="152" t="s">
        <v>46</v>
      </c>
      <c r="B5" s="303" t="s">
        <v>47</v>
      </c>
      <c r="C5" s="153"/>
      <c r="D5" s="404"/>
      <c r="E5" s="404"/>
      <c r="F5" s="405">
        <v>0</v>
      </c>
      <c r="G5" s="155"/>
      <c r="H5" s="168"/>
      <c r="I5" s="147"/>
      <c r="J5" s="147"/>
      <c r="K5" s="147"/>
      <c r="L5" s="147"/>
      <c r="M5" s="147"/>
      <c r="N5" s="147"/>
      <c r="O5" s="147"/>
    </row>
    <row r="6" spans="1:15" ht="18" customHeight="1" outlineLevel="1">
      <c r="A6" s="152" t="s">
        <v>48</v>
      </c>
      <c r="B6" s="303" t="s">
        <v>49</v>
      </c>
      <c r="C6" s="153"/>
      <c r="D6" s="404"/>
      <c r="E6" s="404"/>
      <c r="F6" s="405">
        <v>0</v>
      </c>
      <c r="G6" s="155"/>
      <c r="H6" s="168"/>
      <c r="I6" s="147"/>
      <c r="J6" s="147"/>
      <c r="K6" s="147"/>
      <c r="L6" s="147"/>
      <c r="M6" s="147"/>
      <c r="N6" s="147"/>
      <c r="O6" s="147"/>
    </row>
    <row r="7" spans="1:15" ht="20.149999999999999" customHeight="1" outlineLevel="1">
      <c r="A7" s="152" t="s">
        <v>50</v>
      </c>
      <c r="B7" s="303" t="s">
        <v>51</v>
      </c>
      <c r="C7" s="153"/>
      <c r="D7" s="404"/>
      <c r="E7" s="404"/>
      <c r="F7" s="405">
        <v>0</v>
      </c>
      <c r="G7" s="156"/>
      <c r="H7" s="168"/>
      <c r="I7" s="147"/>
      <c r="J7" s="147"/>
      <c r="K7" s="147"/>
      <c r="L7" s="147"/>
      <c r="M7" s="147"/>
      <c r="N7" s="147"/>
      <c r="O7" s="147"/>
    </row>
    <row r="8" spans="1:15" ht="23.15" customHeight="1" outlineLevel="1">
      <c r="A8" s="152" t="s">
        <v>52</v>
      </c>
      <c r="B8" s="303" t="s">
        <v>53</v>
      </c>
      <c r="C8" s="153"/>
      <c r="D8" s="404"/>
      <c r="E8" s="404"/>
      <c r="F8" s="405">
        <v>0</v>
      </c>
      <c r="G8" s="156"/>
      <c r="H8" s="168"/>
      <c r="I8" s="147"/>
      <c r="J8" s="147"/>
      <c r="K8" s="147"/>
      <c r="L8" s="147"/>
      <c r="M8" s="147"/>
      <c r="N8" s="147"/>
    </row>
    <row r="9" spans="1:15" ht="18" customHeight="1" outlineLevel="1">
      <c r="A9" s="152" t="s">
        <v>54</v>
      </c>
      <c r="B9" s="303" t="s">
        <v>55</v>
      </c>
      <c r="C9" s="153"/>
      <c r="D9" s="404"/>
      <c r="E9" s="404"/>
      <c r="F9" s="405">
        <v>0</v>
      </c>
      <c r="G9" s="156"/>
      <c r="H9" s="168"/>
      <c r="I9" s="147"/>
      <c r="J9" s="147"/>
      <c r="K9" s="147"/>
      <c r="L9" s="147"/>
      <c r="M9" s="147"/>
      <c r="N9" s="147"/>
    </row>
    <row r="10" spans="1:15" ht="18" customHeight="1" outlineLevel="1">
      <c r="A10" s="152" t="s">
        <v>56</v>
      </c>
      <c r="B10" s="303" t="s">
        <v>57</v>
      </c>
      <c r="C10" s="153"/>
      <c r="D10" s="404"/>
      <c r="E10" s="404"/>
      <c r="F10" s="405">
        <v>0</v>
      </c>
      <c r="G10" s="156"/>
      <c r="H10" s="168"/>
      <c r="I10" s="147"/>
      <c r="J10" s="147"/>
      <c r="K10" s="147"/>
      <c r="L10" s="147"/>
      <c r="M10" s="147"/>
      <c r="N10" s="147"/>
    </row>
    <row r="11" spans="1:15" ht="18" customHeight="1" outlineLevel="1">
      <c r="A11" s="152" t="s">
        <v>58</v>
      </c>
      <c r="B11" s="303" t="s">
        <v>59</v>
      </c>
      <c r="C11" s="153"/>
      <c r="D11" s="404"/>
      <c r="E11" s="404"/>
      <c r="F11" s="405">
        <v>0</v>
      </c>
      <c r="G11" s="156"/>
      <c r="H11" s="168"/>
      <c r="I11" s="147"/>
      <c r="J11" s="103"/>
      <c r="K11" s="103"/>
      <c r="L11" s="103"/>
      <c r="M11" s="103"/>
      <c r="N11" s="103"/>
      <c r="O11" s="103"/>
    </row>
    <row r="12" spans="1:15" s="103" customFormat="1" ht="24.65" customHeight="1">
      <c r="A12" s="152">
        <v>1.2</v>
      </c>
      <c r="B12" s="304" t="s">
        <v>60</v>
      </c>
      <c r="C12" s="158">
        <f>'附表1.1 总投资估算（明细）'!$H$37*'附表1 总投资估算表（汇总)'!C22</f>
        <v>0</v>
      </c>
      <c r="D12" s="406">
        <f>'附表1.1 总投资估算（明细）'!$H$37*'附表1 总投资估算表（汇总)'!D22</f>
        <v>62952.185000000005</v>
      </c>
      <c r="E12" s="406">
        <f>'附表1.1 总投资估算（明细）'!$H$37*'附表1 总投资估算表（汇总)'!E22</f>
        <v>0</v>
      </c>
      <c r="F12" s="402">
        <f>'附表1.1 总投资估算（明细）'!H37</f>
        <v>62952.185000000005</v>
      </c>
      <c r="G12" s="159"/>
      <c r="H12" s="168"/>
      <c r="I12" s="147"/>
    </row>
    <row r="13" spans="1:15" ht="18" customHeight="1" outlineLevel="1">
      <c r="A13" s="152" t="s">
        <v>61</v>
      </c>
      <c r="B13" s="304" t="s">
        <v>62</v>
      </c>
      <c r="C13" s="157"/>
      <c r="D13" s="407"/>
      <c r="E13" s="407"/>
      <c r="F13" s="408"/>
      <c r="G13" s="155"/>
      <c r="H13" s="168"/>
      <c r="I13" s="147"/>
      <c r="J13" s="103"/>
      <c r="K13" s="103"/>
      <c r="L13" s="103"/>
      <c r="M13" s="103"/>
      <c r="N13" s="103"/>
      <c r="O13" s="103"/>
    </row>
    <row r="14" spans="1:15" ht="18" customHeight="1" outlineLevel="1">
      <c r="A14" s="152" t="s">
        <v>63</v>
      </c>
      <c r="B14" s="304" t="s">
        <v>64</v>
      </c>
      <c r="C14" s="157"/>
      <c r="D14" s="407"/>
      <c r="E14" s="407"/>
      <c r="F14" s="408">
        <v>0</v>
      </c>
      <c r="G14" s="155"/>
      <c r="H14" s="168"/>
      <c r="I14" s="147"/>
      <c r="J14" s="103"/>
      <c r="K14" s="103"/>
      <c r="L14" s="103"/>
      <c r="M14" s="103"/>
      <c r="N14" s="103"/>
      <c r="O14" s="103"/>
    </row>
    <row r="15" spans="1:15" s="103" customFormat="1" ht="18" customHeight="1">
      <c r="A15" s="152">
        <v>1.3</v>
      </c>
      <c r="B15" s="305" t="s">
        <v>65</v>
      </c>
      <c r="C15" s="158">
        <f>'附表1.1 总投资估算（明细）'!$H$68*0</f>
        <v>0</v>
      </c>
      <c r="D15" s="406">
        <f>'附表1.1 总投资估算（明细）'!$H$68*0</f>
        <v>0</v>
      </c>
      <c r="E15" s="406">
        <f>'附表1.1 总投资估算（明细）'!$H$68*0</f>
        <v>0</v>
      </c>
      <c r="F15" s="402">
        <f>'附表1.1 总投资估算（明细）'!H68</f>
        <v>0</v>
      </c>
      <c r="G15" s="155"/>
      <c r="H15" s="168"/>
      <c r="I15" s="147"/>
    </row>
    <row r="16" spans="1:15" ht="18" customHeight="1" outlineLevel="1">
      <c r="A16" s="152" t="s">
        <v>66</v>
      </c>
      <c r="B16" s="304" t="s">
        <v>67</v>
      </c>
      <c r="C16" s="157"/>
      <c r="D16" s="407"/>
      <c r="E16" s="407"/>
      <c r="F16" s="405"/>
      <c r="G16" s="155"/>
      <c r="H16" s="168"/>
      <c r="I16" s="147"/>
      <c r="J16" s="103"/>
      <c r="K16" s="103"/>
      <c r="L16" s="103"/>
      <c r="M16" s="103"/>
      <c r="N16" s="103"/>
      <c r="O16" s="103"/>
    </row>
    <row r="17" spans="1:15" ht="18" customHeight="1" outlineLevel="1">
      <c r="A17" s="152" t="s">
        <v>68</v>
      </c>
      <c r="B17" s="304" t="s">
        <v>69</v>
      </c>
      <c r="C17" s="157"/>
      <c r="D17" s="407"/>
      <c r="E17" s="407"/>
      <c r="F17" s="405"/>
      <c r="G17" s="155"/>
      <c r="H17" s="168"/>
      <c r="I17" s="147"/>
      <c r="J17" s="103"/>
      <c r="K17" s="103"/>
      <c r="L17" s="103"/>
      <c r="M17" s="103"/>
      <c r="N17" s="103"/>
      <c r="O17" s="103"/>
    </row>
    <row r="18" spans="1:15" s="103" customFormat="1" ht="18" customHeight="1">
      <c r="A18" s="149">
        <v>2</v>
      </c>
      <c r="B18" s="306" t="s">
        <v>70</v>
      </c>
      <c r="C18" s="149" t="e">
        <f>'附表2 投资计划与资金筹措平衡表 '!#REF!</f>
        <v>#REF!</v>
      </c>
      <c r="D18" s="402">
        <f>'附表1.1 总投资估算（明细）'!H69</f>
        <v>3213.2399250000008</v>
      </c>
      <c r="E18" s="402" t="e">
        <f>'附表2 投资计划与资金筹措平衡表 '!#REF!</f>
        <v>#REF!</v>
      </c>
      <c r="F18" s="402">
        <f>'附表1.1 总投资估算（明细）'!H69</f>
        <v>3213.2399250000008</v>
      </c>
      <c r="G18" s="155"/>
      <c r="H18" s="168"/>
      <c r="I18" s="147"/>
    </row>
    <row r="19" spans="1:15" s="103" customFormat="1" ht="24.65" hidden="1" customHeight="1" outlineLevel="1">
      <c r="A19" s="149">
        <v>3</v>
      </c>
      <c r="B19" s="306" t="s">
        <v>71</v>
      </c>
      <c r="C19" s="151"/>
      <c r="D19" s="409"/>
      <c r="E19" s="409"/>
      <c r="F19" s="402"/>
      <c r="G19" s="160"/>
      <c r="H19" s="168"/>
      <c r="I19" s="170"/>
      <c r="J19" s="169"/>
    </row>
    <row r="20" spans="1:15" ht="18" customHeight="1" collapsed="1">
      <c r="A20" s="148"/>
      <c r="B20" s="306" t="s">
        <v>5</v>
      </c>
      <c r="C20" s="149" t="e">
        <f>C3+C18</f>
        <v>#REF!</v>
      </c>
      <c r="D20" s="402">
        <f t="shared" ref="D20:E20" si="1">D3+D18</f>
        <v>106762.97492500002</v>
      </c>
      <c r="E20" s="402" t="e">
        <f t="shared" si="1"/>
        <v>#REF!</v>
      </c>
      <c r="F20" s="402">
        <f>F3+F18+F19</f>
        <v>106762.97492500002</v>
      </c>
      <c r="G20" s="155"/>
      <c r="H20" s="168"/>
      <c r="I20" s="147"/>
      <c r="J20" s="147"/>
      <c r="K20" s="171"/>
    </row>
    <row r="21" spans="1:15" ht="18" customHeight="1">
      <c r="A21" s="161"/>
      <c r="B21" s="162"/>
      <c r="C21" s="162"/>
      <c r="D21" s="162"/>
      <c r="E21" s="162"/>
      <c r="F21" s="163"/>
      <c r="G21" s="164"/>
      <c r="J21" s="147"/>
      <c r="K21" s="171"/>
    </row>
    <row r="22" spans="1:15" ht="18" customHeight="1">
      <c r="A22" s="165"/>
      <c r="B22" s="166" t="s">
        <v>295</v>
      </c>
      <c r="C22" s="247">
        <f>C4/$F$4</f>
        <v>0</v>
      </c>
      <c r="D22" s="247">
        <f>D4/$F$4</f>
        <v>1</v>
      </c>
      <c r="E22" s="247">
        <f>E4/$F$4</f>
        <v>0</v>
      </c>
      <c r="F22" s="247">
        <f>F4/$F$4</f>
        <v>1</v>
      </c>
      <c r="G22" s="167"/>
      <c r="J22" s="147"/>
      <c r="K22" s="171"/>
    </row>
    <row r="23" spans="1:15" ht="18" customHeight="1">
      <c r="A23" s="165"/>
      <c r="B23" s="166" t="s">
        <v>296</v>
      </c>
      <c r="C23" s="247">
        <f>C12/$F$12</f>
        <v>0</v>
      </c>
      <c r="D23" s="247">
        <f>D12/$F$12</f>
        <v>1</v>
      </c>
      <c r="E23" s="247">
        <f>E12/$F$12</f>
        <v>0</v>
      </c>
      <c r="F23" s="247">
        <f>F12/$F$12</f>
        <v>1</v>
      </c>
      <c r="G23" s="167"/>
      <c r="I23" s="1"/>
      <c r="K23" s="171"/>
    </row>
    <row r="24" spans="1:15" ht="18" customHeight="1">
      <c r="A24" s="165"/>
      <c r="B24" s="166" t="s">
        <v>297</v>
      </c>
      <c r="C24" s="247" t="e">
        <f>C15/$F$15</f>
        <v>#DIV/0!</v>
      </c>
      <c r="D24" s="247" t="e">
        <f>D15/$F$15</f>
        <v>#DIV/0!</v>
      </c>
      <c r="E24" s="247" t="e">
        <f>E15/$F$15</f>
        <v>#DIV/0!</v>
      </c>
      <c r="F24" s="247" t="e">
        <f>F15/$F$15</f>
        <v>#DIV/0!</v>
      </c>
      <c r="G24" s="167"/>
    </row>
    <row r="25" spans="1:15" ht="18" customHeight="1">
      <c r="A25" s="165"/>
      <c r="B25" s="166" t="s">
        <v>298</v>
      </c>
      <c r="C25" s="247" t="e">
        <f>C18/$F$18</f>
        <v>#REF!</v>
      </c>
      <c r="D25" s="247">
        <f>D18/$F$18</f>
        <v>1</v>
      </c>
      <c r="E25" s="247" t="e">
        <f>E18/$F$18</f>
        <v>#REF!</v>
      </c>
      <c r="F25" s="247">
        <f>F18/$F$18</f>
        <v>1</v>
      </c>
      <c r="G25" s="167"/>
    </row>
    <row r="26" spans="1:15" ht="18" customHeight="1">
      <c r="A26" s="165"/>
      <c r="B26" s="166" t="s">
        <v>299</v>
      </c>
      <c r="C26" s="247" t="e">
        <f>C20/$F$20</f>
        <v>#REF!</v>
      </c>
      <c r="D26" s="247">
        <f>D20/$F$20</f>
        <v>1</v>
      </c>
      <c r="E26" s="247" t="e">
        <f>E20/$F$20</f>
        <v>#REF!</v>
      </c>
      <c r="F26" s="247">
        <f>F20/$F$20</f>
        <v>1</v>
      </c>
      <c r="G26" s="167"/>
    </row>
    <row r="27" spans="1:15" ht="18" customHeight="1">
      <c r="A27" s="469" t="s">
        <v>554</v>
      </c>
      <c r="B27" s="470"/>
      <c r="C27"/>
      <c r="F27" s="102"/>
    </row>
    <row r="28" spans="1:15" ht="18" customHeight="1">
      <c r="C28" s="255"/>
      <c r="D28" s="255"/>
      <c r="E28" s="255"/>
      <c r="F28" s="255"/>
    </row>
    <row r="29" spans="1:15" ht="18" customHeight="1">
      <c r="F29" s="102"/>
    </row>
    <row r="30" spans="1:15" ht="18" customHeight="1">
      <c r="G30" s="147"/>
    </row>
    <row r="31" spans="1:15" ht="18" customHeight="1">
      <c r="G31" s="147"/>
    </row>
    <row r="32" spans="1:15" ht="18" customHeight="1">
      <c r="G32" s="147"/>
    </row>
    <row r="33" spans="7:7" ht="18" customHeight="1">
      <c r="G33" s="147"/>
    </row>
    <row r="34" spans="7:7" ht="18" customHeight="1">
      <c r="G34" s="147"/>
    </row>
    <row r="35" spans="7:7" ht="18" customHeight="1">
      <c r="G35" s="147"/>
    </row>
    <row r="36" spans="7:7" ht="18" customHeight="1">
      <c r="G36" s="147"/>
    </row>
    <row r="37" spans="7:7" ht="18" customHeight="1">
      <c r="G37" s="147"/>
    </row>
    <row r="38" spans="7:7" ht="18" customHeight="1">
      <c r="G38" s="147"/>
    </row>
    <row r="39" spans="7:7" ht="18" customHeight="1">
      <c r="G39" s="147"/>
    </row>
    <row r="40" spans="7:7" ht="18" customHeight="1">
      <c r="G40" s="147"/>
    </row>
    <row r="41" spans="7:7" ht="18" customHeight="1">
      <c r="G41" s="147"/>
    </row>
    <row r="42" spans="7:7" ht="18" customHeight="1">
      <c r="G42" s="147"/>
    </row>
    <row r="43" spans="7:7" ht="18" customHeight="1">
      <c r="G43" s="147"/>
    </row>
    <row r="44" spans="7:7" ht="18" customHeight="1">
      <c r="G44" s="147"/>
    </row>
    <row r="45" spans="7:7" ht="18" customHeight="1">
      <c r="G45" s="147"/>
    </row>
    <row r="46" spans="7:7" ht="18" customHeight="1">
      <c r="G46" s="147"/>
    </row>
    <row r="47" spans="7:7" ht="18" customHeight="1">
      <c r="G47" s="147"/>
    </row>
    <row r="48" spans="7:7" ht="18" customHeight="1">
      <c r="G48" s="147"/>
    </row>
    <row r="49" spans="7:7" ht="18" customHeight="1">
      <c r="G49" s="147"/>
    </row>
    <row r="50" spans="7:7" ht="18" customHeight="1">
      <c r="G50" s="147"/>
    </row>
    <row r="51" spans="7:7" ht="18" customHeight="1">
      <c r="G51" s="147"/>
    </row>
    <row r="52" spans="7:7" ht="18" customHeight="1">
      <c r="G52" s="147"/>
    </row>
    <row r="53" spans="7:7" ht="18" customHeight="1">
      <c r="G53" s="147"/>
    </row>
    <row r="54" spans="7:7" ht="18" customHeight="1">
      <c r="G54" s="147"/>
    </row>
    <row r="55" spans="7:7" ht="18" customHeight="1">
      <c r="G55" s="147"/>
    </row>
    <row r="56" spans="7:7" ht="18" customHeight="1">
      <c r="G56" s="147"/>
    </row>
    <row r="57" spans="7:7" ht="18" customHeight="1">
      <c r="G57" s="147"/>
    </row>
  </sheetData>
  <mergeCells count="2">
    <mergeCell ref="A1:G1"/>
    <mergeCell ref="H1:J1"/>
  </mergeCells>
  <phoneticPr fontId="27" type="noConversion"/>
  <hyperlinks>
    <hyperlink ref="A27" location="目录!A1" display="点击返回目录"/>
  </hyperlinks>
  <printOptions horizontalCentered="1"/>
  <pageMargins left="0.70763888888888904" right="0.70763888888888904" top="0.94374999999999998" bottom="0.74791666666666701" header="0.31388888888888899" footer="0.31388888888888899"/>
  <pageSetup paperSize="9" scale="6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9"/>
  <sheetViews>
    <sheetView zoomScale="85" zoomScaleNormal="85" zoomScaleSheetLayoutView="90" workbookViewId="0">
      <selection activeCell="N56" sqref="N56"/>
    </sheetView>
  </sheetViews>
  <sheetFormatPr defaultColWidth="8.90625" defaultRowHeight="14" outlineLevelRow="1"/>
  <cols>
    <col min="1" max="1" width="6.7265625" style="146" customWidth="1"/>
    <col min="2" max="2" width="31.08984375" style="146" customWidth="1"/>
    <col min="3" max="3" width="8.36328125" style="146" customWidth="1"/>
    <col min="4" max="4" width="9" style="146" hidden="1" customWidth="1"/>
    <col min="5" max="5" width="10.453125" style="146" hidden="1" customWidth="1"/>
    <col min="6" max="6" width="12.6328125" style="146" customWidth="1"/>
    <col min="7" max="7" width="12.453125" style="146" customWidth="1"/>
    <col min="8" max="8" width="14" style="146" customWidth="1"/>
    <col min="9" max="9" width="13.453125" style="146" customWidth="1"/>
    <col min="10" max="10" width="2.08984375" style="146" customWidth="1"/>
    <col min="11" max="11" width="8.453125" style="146" customWidth="1"/>
    <col min="12" max="12" width="11.453125" style="146" bestFit="1" customWidth="1"/>
    <col min="13" max="13" width="8.90625" style="146"/>
    <col min="14" max="14" width="9.90625" style="146" bestFit="1" customWidth="1"/>
    <col min="15" max="16384" width="8.90625" style="146"/>
  </cols>
  <sheetData>
    <row r="1" spans="1:25" ht="23">
      <c r="A1" s="728" t="s">
        <v>553</v>
      </c>
      <c r="B1" s="728"/>
      <c r="C1" s="728"/>
      <c r="D1" s="728"/>
      <c r="E1" s="728"/>
      <c r="F1" s="728"/>
      <c r="G1" s="728"/>
      <c r="H1" s="728"/>
      <c r="I1" s="728"/>
      <c r="J1" s="728"/>
      <c r="K1" s="728"/>
      <c r="L1" s="728"/>
      <c r="M1" s="728"/>
      <c r="N1" s="728"/>
      <c r="O1" s="728"/>
      <c r="P1" s="728"/>
      <c r="Q1" s="728"/>
      <c r="R1" s="728"/>
      <c r="S1" s="728"/>
      <c r="T1" s="728"/>
      <c r="U1" s="728"/>
      <c r="V1" s="728"/>
      <c r="W1" s="728"/>
      <c r="X1" s="728"/>
      <c r="Y1" s="728"/>
    </row>
    <row r="2" spans="1:25" ht="27.65" customHeight="1">
      <c r="A2" s="727" t="s">
        <v>720</v>
      </c>
      <c r="B2" s="727"/>
      <c r="C2" s="727"/>
      <c r="D2" s="727"/>
      <c r="E2" s="727"/>
      <c r="F2" s="727"/>
      <c r="G2" s="727"/>
      <c r="H2" s="727"/>
      <c r="I2" s="727"/>
    </row>
    <row r="3" spans="1:25">
      <c r="A3" s="691" t="s">
        <v>41</v>
      </c>
      <c r="B3" s="691" t="s">
        <v>72</v>
      </c>
      <c r="C3" s="691" t="s">
        <v>73</v>
      </c>
      <c r="D3" s="691"/>
      <c r="E3" s="691"/>
      <c r="F3" s="691" t="s">
        <v>343</v>
      </c>
      <c r="G3" s="691" t="s">
        <v>74</v>
      </c>
      <c r="H3" s="691" t="s">
        <v>345</v>
      </c>
      <c r="I3" s="691" t="s">
        <v>75</v>
      </c>
      <c r="J3" s="680"/>
      <c r="K3" s="680"/>
      <c r="L3" s="680"/>
      <c r="M3" s="680"/>
    </row>
    <row r="4" spans="1:25">
      <c r="A4" s="562" t="s">
        <v>248</v>
      </c>
      <c r="B4" s="563" t="s">
        <v>76</v>
      </c>
      <c r="C4" s="564"/>
      <c r="D4" s="564"/>
      <c r="E4" s="564"/>
      <c r="F4" s="686"/>
      <c r="G4" s="686"/>
      <c r="H4" s="682">
        <f>H5+H36</f>
        <v>40597.550000000003</v>
      </c>
      <c r="I4" s="692">
        <f t="shared" ref="I4:I38" si="0">H4/$H$70</f>
        <v>0.38025869950251384</v>
      </c>
      <c r="J4" s="680"/>
      <c r="K4" s="680"/>
      <c r="L4" s="680"/>
      <c r="M4" s="680"/>
    </row>
    <row r="5" spans="1:25">
      <c r="A5" s="565">
        <v>1</v>
      </c>
      <c r="B5" s="563" t="s">
        <v>331</v>
      </c>
      <c r="C5" s="564"/>
      <c r="D5" s="564"/>
      <c r="E5" s="564"/>
      <c r="F5" s="686"/>
      <c r="G5" s="686"/>
      <c r="H5" s="682">
        <f>H6+H16+H26</f>
        <v>40597.550000000003</v>
      </c>
      <c r="I5" s="693">
        <f t="shared" si="0"/>
        <v>0.38025869950251384</v>
      </c>
      <c r="J5" s="680"/>
      <c r="K5" s="680"/>
      <c r="L5" s="680"/>
      <c r="M5" s="680"/>
    </row>
    <row r="6" spans="1:25" hidden="1">
      <c r="A6" s="565" t="s">
        <v>253</v>
      </c>
      <c r="B6" s="563" t="s">
        <v>466</v>
      </c>
      <c r="C6" s="566"/>
      <c r="D6" s="566"/>
      <c r="E6" s="566"/>
      <c r="F6" s="687"/>
      <c r="G6" s="688"/>
      <c r="H6" s="682">
        <f>SUM(H7,H8:H13,H14:H15)</f>
        <v>0</v>
      </c>
      <c r="I6" s="693">
        <f t="shared" si="0"/>
        <v>0</v>
      </c>
      <c r="J6" s="680"/>
      <c r="K6" s="681"/>
      <c r="L6" s="680"/>
      <c r="M6" s="680"/>
    </row>
    <row r="7" spans="1:25" hidden="1" outlineLevel="1">
      <c r="A7" s="567" t="s">
        <v>46</v>
      </c>
      <c r="B7" s="564" t="s">
        <v>333</v>
      </c>
      <c r="C7" s="566"/>
      <c r="D7" s="566"/>
      <c r="E7" s="566"/>
      <c r="F7" s="687">
        <v>1</v>
      </c>
      <c r="G7" s="688">
        <v>0</v>
      </c>
      <c r="H7" s="683">
        <f>ROUND(F7*G7,2)</f>
        <v>0</v>
      </c>
      <c r="I7" s="693">
        <f t="shared" si="0"/>
        <v>0</v>
      </c>
      <c r="J7" s="680"/>
      <c r="K7" s="680"/>
      <c r="L7" s="680"/>
      <c r="M7" s="680"/>
    </row>
    <row r="8" spans="1:25" hidden="1" outlineLevel="1">
      <c r="A8" s="567" t="s">
        <v>48</v>
      </c>
      <c r="B8" s="564" t="s">
        <v>334</v>
      </c>
      <c r="C8" s="566"/>
      <c r="D8" s="566"/>
      <c r="E8" s="566"/>
      <c r="F8" s="687">
        <v>1</v>
      </c>
      <c r="G8" s="688"/>
      <c r="H8" s="683">
        <f t="shared" ref="H8:H15" si="1">ROUND(F8*G8,2)</f>
        <v>0</v>
      </c>
      <c r="I8" s="693">
        <f t="shared" si="0"/>
        <v>0</v>
      </c>
      <c r="J8" s="680"/>
      <c r="K8" s="680"/>
      <c r="L8" s="680"/>
      <c r="M8" s="680"/>
    </row>
    <row r="9" spans="1:25" hidden="1" outlineLevel="1">
      <c r="A9" s="567" t="s">
        <v>54</v>
      </c>
      <c r="B9" s="564" t="s">
        <v>335</v>
      </c>
      <c r="C9" s="566"/>
      <c r="D9" s="566"/>
      <c r="E9" s="566"/>
      <c r="F9" s="687">
        <v>1</v>
      </c>
      <c r="G9" s="688"/>
      <c r="H9" s="683">
        <f t="shared" si="1"/>
        <v>0</v>
      </c>
      <c r="I9" s="693">
        <f t="shared" si="0"/>
        <v>0</v>
      </c>
      <c r="J9" s="680"/>
      <c r="K9" s="680"/>
      <c r="L9" s="680"/>
      <c r="M9" s="680"/>
    </row>
    <row r="10" spans="1:25" hidden="1" outlineLevel="1">
      <c r="A10" s="567" t="s">
        <v>56</v>
      </c>
      <c r="B10" s="564" t="s">
        <v>336</v>
      </c>
      <c r="C10" s="566"/>
      <c r="D10" s="566"/>
      <c r="E10" s="566"/>
      <c r="F10" s="687">
        <v>1</v>
      </c>
      <c r="G10" s="688"/>
      <c r="H10" s="683">
        <f t="shared" si="1"/>
        <v>0</v>
      </c>
      <c r="I10" s="693">
        <f t="shared" si="0"/>
        <v>0</v>
      </c>
      <c r="J10" s="680"/>
      <c r="K10" s="680"/>
      <c r="L10" s="680"/>
      <c r="M10" s="680"/>
    </row>
    <row r="11" spans="1:25" hidden="1" outlineLevel="1">
      <c r="A11" s="567" t="s">
        <v>58</v>
      </c>
      <c r="B11" s="564" t="s">
        <v>337</v>
      </c>
      <c r="C11" s="566"/>
      <c r="D11" s="566"/>
      <c r="E11" s="566"/>
      <c r="F11" s="687">
        <v>1</v>
      </c>
      <c r="G11" s="688"/>
      <c r="H11" s="683">
        <f t="shared" si="1"/>
        <v>0</v>
      </c>
      <c r="I11" s="693">
        <f t="shared" si="0"/>
        <v>0</v>
      </c>
      <c r="J11" s="680"/>
      <c r="K11" s="680"/>
      <c r="L11" s="680"/>
      <c r="M11" s="680"/>
    </row>
    <row r="12" spans="1:25" hidden="1" outlineLevel="1">
      <c r="A12" s="567" t="s">
        <v>77</v>
      </c>
      <c r="B12" s="564" t="s">
        <v>338</v>
      </c>
      <c r="C12" s="566"/>
      <c r="D12" s="566"/>
      <c r="E12" s="566"/>
      <c r="F12" s="687">
        <v>1</v>
      </c>
      <c r="G12" s="688"/>
      <c r="H12" s="683">
        <f t="shared" si="1"/>
        <v>0</v>
      </c>
      <c r="I12" s="693">
        <f t="shared" si="0"/>
        <v>0</v>
      </c>
      <c r="J12" s="680"/>
      <c r="K12" s="680"/>
      <c r="L12" s="680"/>
      <c r="M12" s="680"/>
    </row>
    <row r="13" spans="1:25" hidden="1" outlineLevel="1">
      <c r="A13" s="567" t="s">
        <v>254</v>
      </c>
      <c r="B13" s="564" t="s">
        <v>339</v>
      </c>
      <c r="C13" s="566"/>
      <c r="D13" s="566"/>
      <c r="E13" s="566"/>
      <c r="F13" s="687">
        <v>1</v>
      </c>
      <c r="G13" s="688">
        <v>0</v>
      </c>
      <c r="H13" s="683">
        <f t="shared" si="1"/>
        <v>0</v>
      </c>
      <c r="I13" s="693">
        <f t="shared" si="0"/>
        <v>0</v>
      </c>
      <c r="J13" s="680"/>
      <c r="K13" s="680"/>
      <c r="L13" s="680"/>
      <c r="M13" s="680"/>
    </row>
    <row r="14" spans="1:25" hidden="1" outlineLevel="1">
      <c r="A14" s="567" t="s">
        <v>255</v>
      </c>
      <c r="B14" s="564" t="s">
        <v>340</v>
      </c>
      <c r="C14" s="566"/>
      <c r="D14" s="566"/>
      <c r="E14" s="566"/>
      <c r="F14" s="687">
        <v>1</v>
      </c>
      <c r="G14" s="688">
        <v>0</v>
      </c>
      <c r="H14" s="683">
        <f t="shared" si="1"/>
        <v>0</v>
      </c>
      <c r="I14" s="693">
        <f t="shared" si="0"/>
        <v>0</v>
      </c>
      <c r="J14" s="680"/>
      <c r="K14" s="680"/>
      <c r="L14" s="680"/>
      <c r="M14" s="680"/>
    </row>
    <row r="15" spans="1:25" hidden="1" outlineLevel="1">
      <c r="A15" s="567" t="s">
        <v>256</v>
      </c>
      <c r="B15" s="564" t="s">
        <v>344</v>
      </c>
      <c r="C15" s="566"/>
      <c r="D15" s="566"/>
      <c r="E15" s="566"/>
      <c r="F15" s="687">
        <v>1</v>
      </c>
      <c r="G15" s="688">
        <v>0</v>
      </c>
      <c r="H15" s="683">
        <f t="shared" si="1"/>
        <v>0</v>
      </c>
      <c r="I15" s="693">
        <f t="shared" si="0"/>
        <v>0</v>
      </c>
      <c r="J15" s="680"/>
      <c r="K15" s="680"/>
      <c r="L15" s="680"/>
      <c r="M15" s="680"/>
    </row>
    <row r="16" spans="1:25" collapsed="1">
      <c r="A16" s="565" t="s">
        <v>506</v>
      </c>
      <c r="B16" s="563" t="s">
        <v>590</v>
      </c>
      <c r="C16" s="566"/>
      <c r="D16" s="566"/>
      <c r="E16" s="566"/>
      <c r="F16" s="687"/>
      <c r="G16" s="688"/>
      <c r="H16" s="682">
        <f>SUM(H17,H18:H25)</f>
        <v>40597.550000000003</v>
      </c>
      <c r="I16" s="693">
        <f t="shared" si="0"/>
        <v>0.38025869950251384</v>
      </c>
      <c r="J16" s="680"/>
      <c r="K16" s="681"/>
      <c r="L16" s="680"/>
      <c r="M16" s="680"/>
    </row>
    <row r="17" spans="1:13" hidden="1" outlineLevel="1">
      <c r="A17" s="567" t="s">
        <v>61</v>
      </c>
      <c r="B17" s="564"/>
      <c r="C17" s="566"/>
      <c r="D17" s="566"/>
      <c r="E17" s="566"/>
      <c r="F17" s="687">
        <v>1</v>
      </c>
      <c r="G17" s="688"/>
      <c r="H17" s="683">
        <f>ROUND(F17*G17,2)</f>
        <v>0</v>
      </c>
      <c r="I17" s="693">
        <f t="shared" si="0"/>
        <v>0</v>
      </c>
      <c r="J17" s="680"/>
      <c r="K17" s="680"/>
      <c r="L17" s="680"/>
      <c r="M17" s="680"/>
    </row>
    <row r="18" spans="1:13" outlineLevel="1">
      <c r="A18" s="567" t="s">
        <v>501</v>
      </c>
      <c r="B18" s="564" t="s">
        <v>674</v>
      </c>
      <c r="C18" s="566"/>
      <c r="D18" s="566"/>
      <c r="E18" s="566"/>
      <c r="F18" s="687">
        <f>附表3营业收入汇总表!C28/10000</f>
        <v>8.6949320000000014</v>
      </c>
      <c r="G18" s="688">
        <f>'0基本假设 '!L58</f>
        <v>3300</v>
      </c>
      <c r="H18" s="683">
        <f t="shared" ref="H18:H67" si="2">ROUND(F18*G18,2)</f>
        <v>28693.279999999999</v>
      </c>
      <c r="I18" s="693">
        <f t="shared" si="0"/>
        <v>0.26875684215578255</v>
      </c>
      <c r="J18" s="680"/>
      <c r="K18" s="680"/>
      <c r="L18" s="680"/>
      <c r="M18" s="680"/>
    </row>
    <row r="19" spans="1:13" outlineLevel="1">
      <c r="A19" s="567" t="s">
        <v>502</v>
      </c>
      <c r="B19" s="564" t="s">
        <v>675</v>
      </c>
      <c r="C19" s="566"/>
      <c r="D19" s="566"/>
      <c r="E19" s="566"/>
      <c r="F19" s="687">
        <f>附表3营业收入汇总表!C27/10000</f>
        <v>1.617853</v>
      </c>
      <c r="G19" s="688">
        <f>'0基本假设 '!L59</f>
        <v>3600</v>
      </c>
      <c r="H19" s="683">
        <f t="shared" si="2"/>
        <v>5824.27</v>
      </c>
      <c r="I19" s="693">
        <f t="shared" si="0"/>
        <v>5.4553275647212858E-2</v>
      </c>
      <c r="J19" s="680"/>
      <c r="K19" s="680"/>
      <c r="L19" s="680"/>
      <c r="M19" s="680"/>
    </row>
    <row r="20" spans="1:13" outlineLevel="1">
      <c r="A20" s="567" t="s">
        <v>503</v>
      </c>
      <c r="B20" s="564" t="s">
        <v>676</v>
      </c>
      <c r="C20" s="566"/>
      <c r="D20" s="566"/>
      <c r="E20" s="566"/>
      <c r="F20" s="687">
        <f>附表3营业收入汇总表!C26/10000</f>
        <v>7.9600000000000004E-2</v>
      </c>
      <c r="G20" s="688">
        <f>'0基本假设 '!L60</f>
        <v>50000</v>
      </c>
      <c r="H20" s="683">
        <f t="shared" si="2"/>
        <v>3980</v>
      </c>
      <c r="I20" s="693">
        <f t="shared" si="0"/>
        <v>3.7278841309882127E-2</v>
      </c>
      <c r="J20" s="680"/>
      <c r="K20" s="680"/>
      <c r="L20" s="680"/>
      <c r="M20" s="680"/>
    </row>
    <row r="21" spans="1:13" outlineLevel="1">
      <c r="A21" s="567" t="s">
        <v>504</v>
      </c>
      <c r="B21" s="564" t="s">
        <v>498</v>
      </c>
      <c r="C21" s="566"/>
      <c r="D21" s="566"/>
      <c r="E21" s="566"/>
      <c r="F21" s="687"/>
      <c r="G21" s="688"/>
      <c r="H21" s="683">
        <f t="shared" si="2"/>
        <v>0</v>
      </c>
      <c r="I21" s="693">
        <f t="shared" si="0"/>
        <v>0</v>
      </c>
      <c r="J21" s="680"/>
      <c r="K21" s="680"/>
      <c r="L21" s="680"/>
      <c r="M21" s="680"/>
    </row>
    <row r="22" spans="1:13" outlineLevel="1">
      <c r="A22" s="567" t="s">
        <v>505</v>
      </c>
      <c r="B22" s="564" t="s">
        <v>499</v>
      </c>
      <c r="C22" s="566"/>
      <c r="D22" s="566"/>
      <c r="E22" s="566"/>
      <c r="F22" s="687">
        <v>3</v>
      </c>
      <c r="G22" s="688">
        <v>700</v>
      </c>
      <c r="H22" s="683">
        <f t="shared" si="2"/>
        <v>2100</v>
      </c>
      <c r="I22" s="693">
        <f t="shared" si="0"/>
        <v>1.9669740389636297E-2</v>
      </c>
      <c r="J22" s="680"/>
      <c r="K22" s="680"/>
      <c r="L22" s="680"/>
      <c r="M22" s="680"/>
    </row>
    <row r="23" spans="1:13" hidden="1" outlineLevel="1">
      <c r="A23" s="567" t="s">
        <v>81</v>
      </c>
      <c r="B23" s="564"/>
      <c r="C23" s="566"/>
      <c r="D23" s="566"/>
      <c r="E23" s="566"/>
      <c r="F23" s="687">
        <v>1</v>
      </c>
      <c r="G23" s="688">
        <v>0</v>
      </c>
      <c r="H23" s="683">
        <f t="shared" si="2"/>
        <v>0</v>
      </c>
      <c r="I23" s="693">
        <f t="shared" si="0"/>
        <v>0</v>
      </c>
      <c r="J23" s="680"/>
      <c r="K23" s="680"/>
      <c r="L23" s="680"/>
      <c r="M23" s="680"/>
    </row>
    <row r="24" spans="1:13" hidden="1" outlineLevel="1">
      <c r="A24" s="567" t="s">
        <v>257</v>
      </c>
      <c r="B24" s="564"/>
      <c r="C24" s="566"/>
      <c r="D24" s="566"/>
      <c r="E24" s="566"/>
      <c r="F24" s="687">
        <v>1</v>
      </c>
      <c r="G24" s="688">
        <v>0</v>
      </c>
      <c r="H24" s="683">
        <f t="shared" si="2"/>
        <v>0</v>
      </c>
      <c r="I24" s="693">
        <f t="shared" si="0"/>
        <v>0</v>
      </c>
      <c r="J24" s="680"/>
      <c r="K24" s="680"/>
      <c r="L24" s="680"/>
      <c r="M24" s="680"/>
    </row>
    <row r="25" spans="1:13" hidden="1" outlineLevel="1">
      <c r="A25" s="567" t="s">
        <v>258</v>
      </c>
      <c r="B25" s="564"/>
      <c r="C25" s="566"/>
      <c r="D25" s="566"/>
      <c r="E25" s="566"/>
      <c r="F25" s="687">
        <v>1</v>
      </c>
      <c r="G25" s="688">
        <v>0</v>
      </c>
      <c r="H25" s="683">
        <f t="shared" si="2"/>
        <v>0</v>
      </c>
      <c r="I25" s="693">
        <f t="shared" si="0"/>
        <v>0</v>
      </c>
      <c r="J25" s="680"/>
      <c r="K25" s="680"/>
      <c r="L25" s="680"/>
      <c r="M25" s="680"/>
    </row>
    <row r="26" spans="1:13" hidden="1">
      <c r="A26" s="565" t="s">
        <v>82</v>
      </c>
      <c r="B26" s="563" t="s">
        <v>467</v>
      </c>
      <c r="C26" s="566"/>
      <c r="D26" s="566"/>
      <c r="E26" s="566"/>
      <c r="F26" s="687"/>
      <c r="G26" s="688"/>
      <c r="H26" s="682">
        <f>SUM(H27:H35)</f>
        <v>0</v>
      </c>
      <c r="I26" s="693">
        <f t="shared" si="0"/>
        <v>0</v>
      </c>
      <c r="J26" s="680"/>
      <c r="K26" s="681"/>
      <c r="L26" s="680"/>
      <c r="M26" s="680"/>
    </row>
    <row r="27" spans="1:13" hidden="1" outlineLevel="1">
      <c r="A27" s="567" t="s">
        <v>66</v>
      </c>
      <c r="B27" s="564" t="s">
        <v>333</v>
      </c>
      <c r="C27" s="566"/>
      <c r="D27" s="568"/>
      <c r="E27" s="566"/>
      <c r="F27" s="687">
        <v>1</v>
      </c>
      <c r="G27" s="688"/>
      <c r="H27" s="683">
        <f t="shared" si="2"/>
        <v>0</v>
      </c>
      <c r="I27" s="693">
        <f t="shared" si="0"/>
        <v>0</v>
      </c>
      <c r="J27" s="680"/>
      <c r="K27" s="680"/>
      <c r="L27" s="680"/>
      <c r="M27" s="680"/>
    </row>
    <row r="28" spans="1:13" hidden="1" outlineLevel="1">
      <c r="A28" s="567" t="s">
        <v>68</v>
      </c>
      <c r="B28" s="564" t="s">
        <v>334</v>
      </c>
      <c r="C28" s="566"/>
      <c r="D28" s="568">
        <v>640.79999999999995</v>
      </c>
      <c r="E28" s="568">
        <v>144.4</v>
      </c>
      <c r="F28" s="687">
        <v>1</v>
      </c>
      <c r="G28" s="688"/>
      <c r="H28" s="683">
        <f t="shared" si="2"/>
        <v>0</v>
      </c>
      <c r="I28" s="693">
        <f t="shared" si="0"/>
        <v>0</v>
      </c>
      <c r="J28" s="680"/>
      <c r="K28" s="680"/>
      <c r="L28" s="680"/>
      <c r="M28" s="680"/>
    </row>
    <row r="29" spans="1:13" hidden="1" outlineLevel="1">
      <c r="A29" s="567" t="s">
        <v>83</v>
      </c>
      <c r="B29" s="564" t="s">
        <v>335</v>
      </c>
      <c r="C29" s="566"/>
      <c r="D29" s="568"/>
      <c r="E29" s="568"/>
      <c r="F29" s="687">
        <v>1</v>
      </c>
      <c r="G29" s="688"/>
      <c r="H29" s="683">
        <f t="shared" si="2"/>
        <v>0</v>
      </c>
      <c r="I29" s="693">
        <f t="shared" si="0"/>
        <v>0</v>
      </c>
      <c r="J29" s="680"/>
      <c r="K29" s="680"/>
      <c r="L29" s="680"/>
      <c r="M29" s="680"/>
    </row>
    <row r="30" spans="1:13" hidden="1" outlineLevel="1">
      <c r="A30" s="567" t="s">
        <v>84</v>
      </c>
      <c r="B30" s="564" t="s">
        <v>336</v>
      </c>
      <c r="C30" s="566"/>
      <c r="D30" s="568">
        <v>32.9</v>
      </c>
      <c r="E30" s="568">
        <v>54</v>
      </c>
      <c r="F30" s="687">
        <v>1</v>
      </c>
      <c r="G30" s="688"/>
      <c r="H30" s="683">
        <f t="shared" si="2"/>
        <v>0</v>
      </c>
      <c r="I30" s="693">
        <f t="shared" si="0"/>
        <v>0</v>
      </c>
      <c r="J30" s="680"/>
      <c r="K30" s="680"/>
      <c r="L30" s="680"/>
      <c r="M30" s="680"/>
    </row>
    <row r="31" spans="1:13" hidden="1" outlineLevel="1">
      <c r="A31" s="567" t="s">
        <v>259</v>
      </c>
      <c r="B31" s="564" t="s">
        <v>337</v>
      </c>
      <c r="C31" s="566"/>
      <c r="D31" s="568"/>
      <c r="E31" s="568"/>
      <c r="F31" s="687">
        <v>1</v>
      </c>
      <c r="G31" s="688"/>
      <c r="H31" s="683">
        <f t="shared" si="2"/>
        <v>0</v>
      </c>
      <c r="I31" s="693">
        <f t="shared" si="0"/>
        <v>0</v>
      </c>
      <c r="J31" s="680"/>
      <c r="K31" s="680"/>
      <c r="L31" s="680"/>
      <c r="M31" s="680"/>
    </row>
    <row r="32" spans="1:13" hidden="1" outlineLevel="1">
      <c r="A32" s="567" t="s">
        <v>260</v>
      </c>
      <c r="B32" s="564" t="s">
        <v>338</v>
      </c>
      <c r="C32" s="566"/>
      <c r="D32" s="568">
        <v>0</v>
      </c>
      <c r="E32" s="568">
        <v>0</v>
      </c>
      <c r="F32" s="687">
        <v>1</v>
      </c>
      <c r="G32" s="688"/>
      <c r="H32" s="683">
        <f t="shared" si="2"/>
        <v>0</v>
      </c>
      <c r="I32" s="693">
        <f t="shared" si="0"/>
        <v>0</v>
      </c>
      <c r="J32" s="680"/>
      <c r="K32" s="680"/>
      <c r="L32" s="680"/>
      <c r="M32" s="680"/>
    </row>
    <row r="33" spans="1:13" hidden="1" outlineLevel="1">
      <c r="A33" s="567" t="s">
        <v>261</v>
      </c>
      <c r="B33" s="564" t="s">
        <v>339</v>
      </c>
      <c r="C33" s="566"/>
      <c r="D33" s="568"/>
      <c r="E33" s="568"/>
      <c r="F33" s="687">
        <v>1</v>
      </c>
      <c r="G33" s="688">
        <f t="shared" ref="G33:G35" si="3">SUM(D33:E33)</f>
        <v>0</v>
      </c>
      <c r="H33" s="683">
        <f t="shared" si="2"/>
        <v>0</v>
      </c>
      <c r="I33" s="693">
        <f t="shared" si="0"/>
        <v>0</v>
      </c>
      <c r="J33" s="680"/>
      <c r="K33" s="680"/>
      <c r="L33" s="680"/>
      <c r="M33" s="680"/>
    </row>
    <row r="34" spans="1:13" hidden="1" outlineLevel="1">
      <c r="A34" s="567" t="s">
        <v>262</v>
      </c>
      <c r="B34" s="564" t="s">
        <v>340</v>
      </c>
      <c r="C34" s="566"/>
      <c r="D34" s="568"/>
      <c r="E34" s="568"/>
      <c r="F34" s="687">
        <v>1</v>
      </c>
      <c r="G34" s="688">
        <f t="shared" si="3"/>
        <v>0</v>
      </c>
      <c r="H34" s="683">
        <f t="shared" si="2"/>
        <v>0</v>
      </c>
      <c r="I34" s="693">
        <f t="shared" si="0"/>
        <v>0</v>
      </c>
      <c r="J34" s="680"/>
      <c r="K34" s="680"/>
      <c r="L34" s="680"/>
      <c r="M34" s="680"/>
    </row>
    <row r="35" spans="1:13" hidden="1" outlineLevel="1">
      <c r="A35" s="567" t="s">
        <v>263</v>
      </c>
      <c r="B35" s="564" t="s">
        <v>344</v>
      </c>
      <c r="C35" s="566"/>
      <c r="D35" s="568"/>
      <c r="E35" s="568"/>
      <c r="F35" s="687">
        <v>1</v>
      </c>
      <c r="G35" s="688">
        <f t="shared" si="3"/>
        <v>0</v>
      </c>
      <c r="H35" s="683">
        <f t="shared" si="2"/>
        <v>0</v>
      </c>
      <c r="I35" s="693">
        <f t="shared" si="0"/>
        <v>0</v>
      </c>
      <c r="J35" s="680"/>
      <c r="K35" s="680"/>
      <c r="L35" s="680"/>
      <c r="M35" s="680"/>
    </row>
    <row r="36" spans="1:13" collapsed="1">
      <c r="A36" s="569" t="s">
        <v>346</v>
      </c>
      <c r="B36" s="570" t="s">
        <v>332</v>
      </c>
      <c r="C36" s="566"/>
      <c r="D36" s="566"/>
      <c r="E36" s="566"/>
      <c r="F36" s="687"/>
      <c r="G36" s="688">
        <v>0</v>
      </c>
      <c r="H36" s="683">
        <f t="shared" si="2"/>
        <v>0</v>
      </c>
      <c r="I36" s="693">
        <f t="shared" si="0"/>
        <v>0</v>
      </c>
      <c r="J36" s="680"/>
      <c r="K36" s="680"/>
      <c r="L36" s="680"/>
      <c r="M36" s="680"/>
    </row>
    <row r="37" spans="1:13">
      <c r="A37" s="571" t="s">
        <v>250</v>
      </c>
      <c r="B37" s="563" t="s">
        <v>60</v>
      </c>
      <c r="C37" s="564"/>
      <c r="D37" s="564"/>
      <c r="E37" s="564"/>
      <c r="F37" s="686"/>
      <c r="G37" s="688"/>
      <c r="H37" s="682">
        <f>SUM(H43,H49:H51,H55:H57,H62:H67)+H38</f>
        <v>62952.185000000005</v>
      </c>
      <c r="I37" s="692">
        <f t="shared" si="0"/>
        <v>0.58964435043350305</v>
      </c>
    </row>
    <row r="38" spans="1:13" outlineLevel="1">
      <c r="A38" s="567" t="s">
        <v>293</v>
      </c>
      <c r="B38" s="564" t="s">
        <v>342</v>
      </c>
      <c r="C38" s="566" t="s">
        <v>294</v>
      </c>
      <c r="D38" s="566"/>
      <c r="E38" s="566"/>
      <c r="F38" s="687">
        <v>0</v>
      </c>
      <c r="G38" s="688"/>
      <c r="H38" s="683">
        <f>SUM(H39:H42)</f>
        <v>59832.185000000005</v>
      </c>
      <c r="I38" s="693">
        <f t="shared" si="0"/>
        <v>0.56042073614032906</v>
      </c>
    </row>
    <row r="39" spans="1:13" outlineLevel="1">
      <c r="A39" s="567" t="s">
        <v>647</v>
      </c>
      <c r="B39" s="564" t="s">
        <v>641</v>
      </c>
      <c r="C39" s="566"/>
      <c r="D39" s="566"/>
      <c r="E39" s="566"/>
      <c r="F39" s="687">
        <v>52770</v>
      </c>
      <c r="G39" s="688">
        <v>1</v>
      </c>
      <c r="H39" s="683">
        <f>F39*G39</f>
        <v>52770</v>
      </c>
      <c r="I39" s="693"/>
    </row>
    <row r="40" spans="1:13" outlineLevel="1">
      <c r="A40" s="567" t="s">
        <v>648</v>
      </c>
      <c r="B40" s="564" t="s">
        <v>642</v>
      </c>
      <c r="C40" s="566"/>
      <c r="D40" s="566"/>
      <c r="E40" s="566"/>
      <c r="F40" s="687">
        <f>F39*0.04</f>
        <v>2110.8000000000002</v>
      </c>
      <c r="G40" s="688">
        <v>1</v>
      </c>
      <c r="H40" s="683">
        <f t="shared" ref="H40:H42" si="4">F40*G40</f>
        <v>2110.8000000000002</v>
      </c>
      <c r="I40" s="693"/>
    </row>
    <row r="41" spans="1:13" outlineLevel="1">
      <c r="A41" s="567" t="s">
        <v>649</v>
      </c>
      <c r="B41" s="564" t="s">
        <v>643</v>
      </c>
      <c r="C41" s="566"/>
      <c r="D41" s="566"/>
      <c r="E41" s="566"/>
      <c r="F41" s="687">
        <f>F39*0.0005</f>
        <v>26.385000000000002</v>
      </c>
      <c r="G41" s="688">
        <v>1</v>
      </c>
      <c r="H41" s="683">
        <f t="shared" si="4"/>
        <v>26.385000000000002</v>
      </c>
      <c r="I41" s="693"/>
    </row>
    <row r="42" spans="1:13" outlineLevel="1">
      <c r="A42" s="567" t="s">
        <v>650</v>
      </c>
      <c r="B42" s="564" t="s">
        <v>644</v>
      </c>
      <c r="C42" s="566"/>
      <c r="D42" s="566"/>
      <c r="E42" s="566"/>
      <c r="F42" s="687">
        <v>4925</v>
      </c>
      <c r="G42" s="688">
        <v>1</v>
      </c>
      <c r="H42" s="683">
        <f t="shared" si="4"/>
        <v>4925</v>
      </c>
      <c r="I42" s="693"/>
    </row>
    <row r="43" spans="1:13" outlineLevel="1">
      <c r="A43" s="567" t="s">
        <v>264</v>
      </c>
      <c r="B43" s="564" t="s">
        <v>349</v>
      </c>
      <c r="C43" s="566" t="s">
        <v>294</v>
      </c>
      <c r="D43" s="566"/>
      <c r="E43" s="566"/>
      <c r="F43" s="687"/>
      <c r="G43" s="688">
        <f>SUM(G44:G46)</f>
        <v>0</v>
      </c>
      <c r="H43" s="683">
        <f>SUM(H47:H48)</f>
        <v>3120</v>
      </c>
      <c r="I43" s="693">
        <f>H43/$H$70</f>
        <v>2.9223614293173928E-2</v>
      </c>
    </row>
    <row r="44" spans="1:13" hidden="1" outlineLevel="1">
      <c r="A44" s="567"/>
      <c r="B44" s="564"/>
      <c r="C44" s="566"/>
      <c r="D44" s="566"/>
      <c r="E44" s="566"/>
      <c r="F44" s="687"/>
      <c r="G44" s="688"/>
      <c r="H44" s="683">
        <f t="shared" si="2"/>
        <v>0</v>
      </c>
      <c r="I44" s="693"/>
    </row>
    <row r="45" spans="1:13" hidden="1" outlineLevel="1">
      <c r="A45" s="567"/>
      <c r="B45" s="564"/>
      <c r="C45" s="566"/>
      <c r="D45" s="566"/>
      <c r="E45" s="566"/>
      <c r="F45" s="687"/>
      <c r="G45" s="688"/>
      <c r="H45" s="683">
        <f t="shared" si="2"/>
        <v>0</v>
      </c>
      <c r="I45" s="693"/>
    </row>
    <row r="46" spans="1:13" hidden="1" outlineLevel="1">
      <c r="A46" s="567"/>
      <c r="B46" s="564"/>
      <c r="C46" s="566"/>
      <c r="D46" s="566"/>
      <c r="E46" s="566"/>
      <c r="F46" s="687"/>
      <c r="G46" s="688"/>
      <c r="H46" s="683">
        <f t="shared" si="2"/>
        <v>0</v>
      </c>
      <c r="I46" s="693"/>
    </row>
    <row r="47" spans="1:13" outlineLevel="1">
      <c r="A47" s="567" t="s">
        <v>378</v>
      </c>
      <c r="B47" s="564" t="s">
        <v>645</v>
      </c>
      <c r="C47" s="566"/>
      <c r="D47" s="566"/>
      <c r="E47" s="566"/>
      <c r="F47" s="687">
        <v>2850</v>
      </c>
      <c r="G47" s="688">
        <v>1</v>
      </c>
      <c r="H47" s="683">
        <f>F47*G47</f>
        <v>2850</v>
      </c>
      <c r="I47" s="693"/>
    </row>
    <row r="48" spans="1:13" outlineLevel="1">
      <c r="A48" s="567" t="s">
        <v>452</v>
      </c>
      <c r="B48" s="564" t="s">
        <v>646</v>
      </c>
      <c r="C48" s="566"/>
      <c r="D48" s="566"/>
      <c r="E48" s="566"/>
      <c r="F48" s="687">
        <v>270</v>
      </c>
      <c r="G48" s="688">
        <v>1</v>
      </c>
      <c r="H48" s="683">
        <f>F48*G48</f>
        <v>270</v>
      </c>
      <c r="I48" s="693"/>
    </row>
    <row r="49" spans="1:9" outlineLevel="1">
      <c r="A49" s="567" t="s">
        <v>265</v>
      </c>
      <c r="B49" s="564" t="s">
        <v>347</v>
      </c>
      <c r="C49" s="566" t="s">
        <v>294</v>
      </c>
      <c r="D49" s="566"/>
      <c r="E49" s="566"/>
      <c r="F49" s="687">
        <v>1</v>
      </c>
      <c r="G49" s="688"/>
      <c r="H49" s="683"/>
      <c r="I49" s="693">
        <f t="shared" ref="I49:I70" si="5">H49/$H$70</f>
        <v>0</v>
      </c>
    </row>
    <row r="50" spans="1:9" outlineLevel="1">
      <c r="A50" s="567" t="s">
        <v>266</v>
      </c>
      <c r="B50" s="564" t="s">
        <v>348</v>
      </c>
      <c r="C50" s="566"/>
      <c r="D50" s="566"/>
      <c r="E50" s="566"/>
      <c r="F50" s="687">
        <v>1</v>
      </c>
      <c r="G50" s="688">
        <v>0</v>
      </c>
      <c r="H50" s="683">
        <f t="shared" si="2"/>
        <v>0</v>
      </c>
      <c r="I50" s="693">
        <f t="shared" si="5"/>
        <v>0</v>
      </c>
    </row>
    <row r="51" spans="1:9" outlineLevel="1">
      <c r="A51" s="567" t="s">
        <v>249</v>
      </c>
      <c r="B51" s="564" t="s">
        <v>89</v>
      </c>
      <c r="C51" s="566" t="s">
        <v>294</v>
      </c>
      <c r="D51" s="566"/>
      <c r="E51" s="566"/>
      <c r="F51" s="687">
        <v>1</v>
      </c>
      <c r="G51" s="688">
        <v>0</v>
      </c>
      <c r="H51" s="683">
        <f>SUM(H52:H54)</f>
        <v>0</v>
      </c>
      <c r="I51" s="693">
        <f t="shared" si="5"/>
        <v>0</v>
      </c>
    </row>
    <row r="52" spans="1:9" outlineLevel="1">
      <c r="A52" s="567" t="s">
        <v>351</v>
      </c>
      <c r="B52" s="564" t="s">
        <v>278</v>
      </c>
      <c r="C52" s="566" t="s">
        <v>294</v>
      </c>
      <c r="D52" s="566"/>
      <c r="E52" s="566"/>
      <c r="F52" s="687">
        <v>1</v>
      </c>
      <c r="G52" s="688">
        <v>0</v>
      </c>
      <c r="H52" s="683">
        <f t="shared" si="2"/>
        <v>0</v>
      </c>
      <c r="I52" s="693">
        <f t="shared" si="5"/>
        <v>0</v>
      </c>
    </row>
    <row r="53" spans="1:9" outlineLevel="1">
      <c r="A53" s="567" t="s">
        <v>267</v>
      </c>
      <c r="B53" s="564" t="s">
        <v>279</v>
      </c>
      <c r="C53" s="566" t="s">
        <v>294</v>
      </c>
      <c r="D53" s="566"/>
      <c r="E53" s="566"/>
      <c r="F53" s="687">
        <v>1</v>
      </c>
      <c r="G53" s="688">
        <v>0</v>
      </c>
      <c r="H53" s="683">
        <f t="shared" si="2"/>
        <v>0</v>
      </c>
      <c r="I53" s="693">
        <f t="shared" si="5"/>
        <v>0</v>
      </c>
    </row>
    <row r="54" spans="1:9" outlineLevel="1">
      <c r="A54" s="567" t="s">
        <v>300</v>
      </c>
      <c r="B54" s="564" t="s">
        <v>88</v>
      </c>
      <c r="C54" s="566" t="s">
        <v>294</v>
      </c>
      <c r="D54" s="566"/>
      <c r="E54" s="566"/>
      <c r="F54" s="687">
        <v>1</v>
      </c>
      <c r="G54" s="688">
        <v>0</v>
      </c>
      <c r="H54" s="683">
        <f t="shared" si="2"/>
        <v>0</v>
      </c>
      <c r="I54" s="693">
        <f t="shared" si="5"/>
        <v>0</v>
      </c>
    </row>
    <row r="55" spans="1:9" outlineLevel="1">
      <c r="A55" s="567" t="s">
        <v>352</v>
      </c>
      <c r="B55" s="564" t="s">
        <v>280</v>
      </c>
      <c r="C55" s="566" t="s">
        <v>294</v>
      </c>
      <c r="D55" s="566"/>
      <c r="E55" s="566"/>
      <c r="F55" s="687">
        <v>1</v>
      </c>
      <c r="G55" s="688">
        <v>0</v>
      </c>
      <c r="H55" s="683">
        <f t="shared" si="2"/>
        <v>0</v>
      </c>
      <c r="I55" s="693">
        <f t="shared" si="5"/>
        <v>0</v>
      </c>
    </row>
    <row r="56" spans="1:9" outlineLevel="1">
      <c r="A56" s="567" t="s">
        <v>270</v>
      </c>
      <c r="B56" s="564" t="s">
        <v>281</v>
      </c>
      <c r="C56" s="566" t="s">
        <v>294</v>
      </c>
      <c r="D56" s="566"/>
      <c r="E56" s="566"/>
      <c r="F56" s="687">
        <v>1</v>
      </c>
      <c r="G56" s="688">
        <v>0</v>
      </c>
      <c r="H56" s="683">
        <f t="shared" si="2"/>
        <v>0</v>
      </c>
      <c r="I56" s="693">
        <f t="shared" si="5"/>
        <v>0</v>
      </c>
    </row>
    <row r="57" spans="1:9" outlineLevel="1">
      <c r="A57" s="567" t="s">
        <v>272</v>
      </c>
      <c r="B57" s="564" t="s">
        <v>282</v>
      </c>
      <c r="C57" s="566" t="s">
        <v>294</v>
      </c>
      <c r="D57" s="566"/>
      <c r="E57" s="566"/>
      <c r="F57" s="687">
        <v>1</v>
      </c>
      <c r="G57" s="688">
        <v>0</v>
      </c>
      <c r="H57" s="683">
        <f>SUM(H58:H61)</f>
        <v>0</v>
      </c>
      <c r="I57" s="693">
        <f t="shared" si="5"/>
        <v>0</v>
      </c>
    </row>
    <row r="58" spans="1:9" outlineLevel="1">
      <c r="A58" s="567" t="s">
        <v>353</v>
      </c>
      <c r="B58" s="564" t="s">
        <v>283</v>
      </c>
      <c r="C58" s="566" t="s">
        <v>294</v>
      </c>
      <c r="D58" s="566"/>
      <c r="E58" s="566"/>
      <c r="F58" s="687">
        <v>1</v>
      </c>
      <c r="G58" s="688">
        <v>0</v>
      </c>
      <c r="H58" s="683">
        <f t="shared" si="2"/>
        <v>0</v>
      </c>
      <c r="I58" s="693">
        <f t="shared" si="5"/>
        <v>0</v>
      </c>
    </row>
    <row r="59" spans="1:9" outlineLevel="1">
      <c r="A59" s="567" t="s">
        <v>273</v>
      </c>
      <c r="B59" s="564" t="s">
        <v>284</v>
      </c>
      <c r="C59" s="566" t="s">
        <v>294</v>
      </c>
      <c r="D59" s="566"/>
      <c r="E59" s="566"/>
      <c r="F59" s="687">
        <v>1</v>
      </c>
      <c r="G59" s="688">
        <v>0</v>
      </c>
      <c r="H59" s="683">
        <f t="shared" si="2"/>
        <v>0</v>
      </c>
      <c r="I59" s="693">
        <f t="shared" si="5"/>
        <v>0</v>
      </c>
    </row>
    <row r="60" spans="1:9" outlineLevel="1">
      <c r="A60" s="567" t="s">
        <v>274</v>
      </c>
      <c r="B60" s="564" t="s">
        <v>286</v>
      </c>
      <c r="C60" s="566" t="s">
        <v>294</v>
      </c>
      <c r="D60" s="566"/>
      <c r="E60" s="566"/>
      <c r="F60" s="687">
        <v>1</v>
      </c>
      <c r="G60" s="688">
        <v>0</v>
      </c>
      <c r="H60" s="683">
        <f t="shared" si="2"/>
        <v>0</v>
      </c>
      <c r="I60" s="693">
        <f t="shared" si="5"/>
        <v>0</v>
      </c>
    </row>
    <row r="61" spans="1:9" outlineLevel="1">
      <c r="A61" s="567" t="s">
        <v>355</v>
      </c>
      <c r="B61" s="564" t="s">
        <v>287</v>
      </c>
      <c r="C61" s="566" t="s">
        <v>294</v>
      </c>
      <c r="D61" s="566"/>
      <c r="E61" s="566"/>
      <c r="F61" s="687">
        <v>1</v>
      </c>
      <c r="G61" s="688">
        <v>0</v>
      </c>
      <c r="H61" s="683">
        <f t="shared" si="2"/>
        <v>0</v>
      </c>
      <c r="I61" s="693">
        <f t="shared" si="5"/>
        <v>0</v>
      </c>
    </row>
    <row r="62" spans="1:9" outlineLevel="1">
      <c r="A62" s="567" t="s">
        <v>356</v>
      </c>
      <c r="B62" s="564" t="s">
        <v>288</v>
      </c>
      <c r="C62" s="566" t="s">
        <v>294</v>
      </c>
      <c r="D62" s="566"/>
      <c r="E62" s="566"/>
      <c r="F62" s="687">
        <v>1</v>
      </c>
      <c r="G62" s="688">
        <v>0</v>
      </c>
      <c r="H62" s="683">
        <f t="shared" si="2"/>
        <v>0</v>
      </c>
      <c r="I62" s="693">
        <f t="shared" si="5"/>
        <v>0</v>
      </c>
    </row>
    <row r="63" spans="1:9" outlineLevel="1">
      <c r="A63" s="567" t="s">
        <v>275</v>
      </c>
      <c r="B63" s="564" t="s">
        <v>90</v>
      </c>
      <c r="C63" s="566" t="s">
        <v>294</v>
      </c>
      <c r="D63" s="566"/>
      <c r="E63" s="566"/>
      <c r="F63" s="687">
        <v>1</v>
      </c>
      <c r="G63" s="688"/>
      <c r="H63" s="683">
        <f t="shared" si="2"/>
        <v>0</v>
      </c>
      <c r="I63" s="693">
        <f t="shared" si="5"/>
        <v>0</v>
      </c>
    </row>
    <row r="64" spans="1:9" outlineLevel="1">
      <c r="A64" s="567" t="s">
        <v>276</v>
      </c>
      <c r="B64" s="564" t="s">
        <v>289</v>
      </c>
      <c r="C64" s="566" t="s">
        <v>294</v>
      </c>
      <c r="D64" s="566"/>
      <c r="E64" s="566"/>
      <c r="F64" s="687">
        <v>1</v>
      </c>
      <c r="G64" s="688">
        <v>0</v>
      </c>
      <c r="H64" s="683">
        <f t="shared" si="2"/>
        <v>0</v>
      </c>
      <c r="I64" s="693">
        <f t="shared" si="5"/>
        <v>0</v>
      </c>
    </row>
    <row r="65" spans="1:9" outlineLevel="1">
      <c r="A65" s="567" t="s">
        <v>277</v>
      </c>
      <c r="B65" s="564" t="s">
        <v>290</v>
      </c>
      <c r="C65" s="566" t="s">
        <v>294</v>
      </c>
      <c r="D65" s="566"/>
      <c r="E65" s="566"/>
      <c r="F65" s="687">
        <v>1</v>
      </c>
      <c r="G65" s="688">
        <v>0</v>
      </c>
      <c r="H65" s="683">
        <f t="shared" si="2"/>
        <v>0</v>
      </c>
      <c r="I65" s="693">
        <f t="shared" si="5"/>
        <v>0</v>
      </c>
    </row>
    <row r="66" spans="1:9" outlineLevel="1">
      <c r="A66" s="567" t="s">
        <v>292</v>
      </c>
      <c r="B66" s="564" t="s">
        <v>291</v>
      </c>
      <c r="C66" s="566" t="s">
        <v>294</v>
      </c>
      <c r="D66" s="566"/>
      <c r="E66" s="566"/>
      <c r="F66" s="687">
        <v>1</v>
      </c>
      <c r="G66" s="688">
        <v>0</v>
      </c>
      <c r="H66" s="683">
        <f t="shared" si="2"/>
        <v>0</v>
      </c>
      <c r="I66" s="693">
        <f t="shared" si="5"/>
        <v>0</v>
      </c>
    </row>
    <row r="67" spans="1:9" outlineLevel="1">
      <c r="A67" s="567" t="s">
        <v>357</v>
      </c>
      <c r="B67" s="564" t="s">
        <v>350</v>
      </c>
      <c r="C67" s="566" t="s">
        <v>294</v>
      </c>
      <c r="D67" s="566"/>
      <c r="E67" s="566"/>
      <c r="F67" s="687">
        <v>1</v>
      </c>
      <c r="G67" s="688">
        <v>0</v>
      </c>
      <c r="H67" s="683">
        <f t="shared" si="2"/>
        <v>0</v>
      </c>
      <c r="I67" s="693">
        <f t="shared" si="5"/>
        <v>0</v>
      </c>
    </row>
    <row r="68" spans="1:9">
      <c r="A68" s="572" t="s">
        <v>251</v>
      </c>
      <c r="B68" s="563" t="s">
        <v>341</v>
      </c>
      <c r="C68" s="566" t="s">
        <v>85</v>
      </c>
      <c r="D68" s="566"/>
      <c r="E68" s="566"/>
      <c r="F68" s="689">
        <v>0</v>
      </c>
      <c r="G68" s="686"/>
      <c r="H68" s="684">
        <f>(H4+H37)*0%</f>
        <v>0</v>
      </c>
      <c r="I68" s="692">
        <f t="shared" si="5"/>
        <v>0</v>
      </c>
    </row>
    <row r="69" spans="1:9" ht="14.5" customHeight="1">
      <c r="A69" s="572" t="s">
        <v>252</v>
      </c>
      <c r="B69" s="563" t="s">
        <v>70</v>
      </c>
      <c r="C69" s="564"/>
      <c r="D69" s="564"/>
      <c r="E69" s="564"/>
      <c r="F69" s="686"/>
      <c r="G69" s="686"/>
      <c r="H69" s="684">
        <f>'附表2 投资计划与资金筹措平衡表 '!O9</f>
        <v>3213.2399250000008</v>
      </c>
      <c r="I69" s="692">
        <f t="shared" si="5"/>
        <v>3.0096950063983056E-2</v>
      </c>
    </row>
    <row r="70" spans="1:9" ht="18" customHeight="1">
      <c r="A70" s="573"/>
      <c r="B70" s="574" t="s">
        <v>5</v>
      </c>
      <c r="C70" s="564"/>
      <c r="D70" s="564"/>
      <c r="E70" s="564"/>
      <c r="F70" s="686"/>
      <c r="G70" s="686"/>
      <c r="H70" s="685">
        <f>H4+H37+H68+H69</f>
        <v>106762.97492500002</v>
      </c>
      <c r="I70" s="692">
        <f t="shared" si="5"/>
        <v>1</v>
      </c>
    </row>
    <row r="71" spans="1:9">
      <c r="F71" s="690"/>
      <c r="G71" s="690"/>
    </row>
    <row r="72" spans="1:9" ht="15">
      <c r="A72" s="469" t="s">
        <v>554</v>
      </c>
      <c r="B72" s="470"/>
      <c r="C72"/>
      <c r="D72" s="380"/>
      <c r="E72" s="380"/>
      <c r="F72" s="380"/>
      <c r="G72" s="380"/>
      <c r="H72" s="380"/>
    </row>
    <row r="73" spans="1:9">
      <c r="C73" s="380"/>
      <c r="D73" s="380"/>
      <c r="E73" s="380"/>
      <c r="F73" s="380"/>
      <c r="G73" s="380"/>
      <c r="H73" s="380"/>
    </row>
    <row r="74" spans="1:9">
      <c r="C74" s="380"/>
      <c r="D74" s="381"/>
      <c r="E74" s="381"/>
      <c r="F74" s="381"/>
      <c r="G74" s="381"/>
      <c r="H74" s="380"/>
    </row>
    <row r="75" spans="1:9">
      <c r="C75" s="380"/>
      <c r="D75" s="380"/>
      <c r="E75" s="380"/>
      <c r="F75" s="380"/>
      <c r="G75" s="380"/>
      <c r="H75" s="380"/>
    </row>
    <row r="76" spans="1:9">
      <c r="C76" s="380"/>
      <c r="D76" s="380"/>
      <c r="E76" s="380"/>
      <c r="F76" s="380"/>
      <c r="G76" s="380"/>
      <c r="H76" s="380"/>
    </row>
    <row r="77" spans="1:9">
      <c r="C77" s="380"/>
      <c r="D77" s="381"/>
      <c r="E77" s="381"/>
      <c r="F77" s="381"/>
      <c r="G77" s="381"/>
      <c r="H77" s="380"/>
    </row>
    <row r="78" spans="1:9">
      <c r="C78" s="380"/>
      <c r="D78" s="380"/>
      <c r="E78" s="380"/>
      <c r="F78" s="380"/>
      <c r="G78" s="380"/>
      <c r="H78" s="380"/>
    </row>
    <row r="79" spans="1:9">
      <c r="C79" s="380"/>
      <c r="D79" s="380"/>
      <c r="E79" s="380"/>
      <c r="F79" s="380"/>
      <c r="G79" s="380"/>
      <c r="H79" s="380"/>
    </row>
  </sheetData>
  <mergeCells count="2">
    <mergeCell ref="A2:I2"/>
    <mergeCell ref="A1:Y1"/>
  </mergeCells>
  <phoneticPr fontId="27" type="noConversion"/>
  <hyperlinks>
    <hyperlink ref="A72" location="目录!A1" display="点击返回目录"/>
  </hyperlinks>
  <pageMargins left="0.7" right="0.7" top="0.75" bottom="0.75" header="0.3" footer="0.3"/>
  <pageSetup paperSize="9" scale="41"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2"/>
  <sheetViews>
    <sheetView zoomScale="80" zoomScaleNormal="80" zoomScaleSheetLayoutView="90" workbookViewId="0">
      <selection activeCell="U27" sqref="U27"/>
    </sheetView>
  </sheetViews>
  <sheetFormatPr defaultColWidth="9" defaultRowHeight="13" outlineLevelCol="1"/>
  <cols>
    <col min="1" max="1" width="2.08984375" style="104" customWidth="1"/>
    <col min="2" max="2" width="8" style="104" customWidth="1"/>
    <col min="3" max="3" width="17.08984375" style="104" customWidth="1"/>
    <col min="4" max="13" width="11.6328125" style="104" customWidth="1"/>
    <col min="14" max="14" width="11.6328125" style="104" hidden="1" customWidth="1" outlineLevel="1"/>
    <col min="15" max="15" width="11.6328125" style="104" customWidth="1" collapsed="1"/>
    <col min="16" max="16" width="10.7265625" style="104" customWidth="1"/>
    <col min="17" max="17" width="4.90625" style="104" customWidth="1"/>
    <col min="18" max="18" width="9" style="104" customWidth="1"/>
    <col min="19" max="27" width="7.26953125" style="104" bestFit="1" customWidth="1"/>
    <col min="28" max="28" width="11.36328125" style="104" hidden="1" customWidth="1"/>
    <col min="29" max="29" width="14.08984375" style="104" customWidth="1"/>
    <col min="30" max="31" width="9" style="104"/>
    <col min="32" max="32" width="40.453125" style="104" customWidth="1"/>
    <col min="33" max="16384" width="9" style="104"/>
  </cols>
  <sheetData>
    <row r="1" spans="1:29" ht="8.25" customHeight="1"/>
    <row r="2" spans="1:29" ht="30" customHeight="1">
      <c r="B2" s="664" t="s">
        <v>717</v>
      </c>
      <c r="C2" s="664"/>
      <c r="D2" s="664"/>
      <c r="E2" s="664"/>
      <c r="F2" s="664"/>
      <c r="G2" s="664"/>
      <c r="H2" s="664"/>
      <c r="I2" s="664"/>
      <c r="J2" s="664"/>
      <c r="K2" s="664"/>
      <c r="L2" s="664"/>
      <c r="M2" s="664"/>
      <c r="N2" s="664"/>
      <c r="O2" s="664"/>
      <c r="P2" s="664"/>
    </row>
    <row r="3" spans="1:29" s="103" customFormat="1" ht="20.25" customHeight="1">
      <c r="B3" s="705" t="s">
        <v>41</v>
      </c>
      <c r="C3" s="633"/>
      <c r="D3" s="746" t="s">
        <v>718</v>
      </c>
      <c r="E3" s="747"/>
      <c r="F3" s="747"/>
      <c r="G3" s="747"/>
      <c r="H3" s="747"/>
      <c r="I3" s="747"/>
      <c r="J3" s="747"/>
      <c r="K3" s="747"/>
      <c r="L3" s="747"/>
      <c r="M3" s="747"/>
      <c r="N3" s="748"/>
      <c r="O3" s="730" t="s">
        <v>92</v>
      </c>
      <c r="P3" s="732" t="s">
        <v>93</v>
      </c>
      <c r="R3" s="741" t="s">
        <v>94</v>
      </c>
      <c r="S3" s="741"/>
      <c r="T3" s="741"/>
      <c r="U3" s="741"/>
      <c r="V3" s="741"/>
      <c r="W3" s="741"/>
      <c r="X3" s="741"/>
      <c r="Y3" s="741"/>
      <c r="Z3" s="741"/>
      <c r="AA3" s="741"/>
      <c r="AB3" s="741"/>
      <c r="AC3" s="741"/>
    </row>
    <row r="4" spans="1:29" s="102" customFormat="1" ht="18" customHeight="1">
      <c r="B4" s="729"/>
      <c r="C4" s="634" t="s">
        <v>86</v>
      </c>
      <c r="D4" s="632" t="s">
        <v>477</v>
      </c>
      <c r="E4" s="632" t="s">
        <v>478</v>
      </c>
      <c r="F4" s="632" t="s">
        <v>479</v>
      </c>
      <c r="G4" s="632" t="s">
        <v>480</v>
      </c>
      <c r="H4" s="632" t="s">
        <v>483</v>
      </c>
      <c r="I4" s="632" t="s">
        <v>484</v>
      </c>
      <c r="J4" s="632" t="s">
        <v>483</v>
      </c>
      <c r="K4" s="632" t="s">
        <v>484</v>
      </c>
      <c r="L4" s="632" t="s">
        <v>713</v>
      </c>
      <c r="M4" s="632" t="s">
        <v>486</v>
      </c>
      <c r="N4" s="126" t="s">
        <v>95</v>
      </c>
      <c r="O4" s="731"/>
      <c r="P4" s="733"/>
      <c r="R4" s="484" t="s">
        <v>477</v>
      </c>
      <c r="S4" s="484" t="s">
        <v>478</v>
      </c>
      <c r="T4" s="484" t="s">
        <v>479</v>
      </c>
      <c r="U4" s="484" t="s">
        <v>480</v>
      </c>
      <c r="V4" s="484" t="s">
        <v>483</v>
      </c>
      <c r="W4" s="484" t="s">
        <v>484</v>
      </c>
      <c r="X4" s="484" t="s">
        <v>485</v>
      </c>
      <c r="Y4" s="484" t="s">
        <v>486</v>
      </c>
      <c r="Z4" s="484" t="s">
        <v>487</v>
      </c>
      <c r="AA4" s="484" t="s">
        <v>488</v>
      </c>
      <c r="AB4" s="140" t="s">
        <v>95</v>
      </c>
      <c r="AC4" s="140" t="s">
        <v>92</v>
      </c>
    </row>
    <row r="5" spans="1:29" s="102" customFormat="1" ht="18" customHeight="1">
      <c r="A5" s="127"/>
      <c r="B5" s="128">
        <v>1</v>
      </c>
      <c r="C5" s="129" t="s">
        <v>5</v>
      </c>
      <c r="D5" s="395">
        <f t="shared" ref="D5:M5" si="0">D6+D7+D8+D9</f>
        <v>59832.185000000005</v>
      </c>
      <c r="E5" s="395">
        <f t="shared" si="0"/>
        <v>8809.086325000002</v>
      </c>
      <c r="F5" s="395">
        <f t="shared" si="0"/>
        <v>4535.695812500001</v>
      </c>
      <c r="G5" s="395">
        <f t="shared" si="0"/>
        <v>4601.272137500001</v>
      </c>
      <c r="H5" s="395">
        <f t="shared" si="0"/>
        <v>4666.848462500001</v>
      </c>
      <c r="I5" s="395">
        <f t="shared" si="0"/>
        <v>4732.424787500001</v>
      </c>
      <c r="J5" s="395">
        <f t="shared" si="0"/>
        <v>4798.001112500001</v>
      </c>
      <c r="K5" s="395">
        <f t="shared" si="0"/>
        <v>4863.577437500001</v>
      </c>
      <c r="L5" s="395">
        <f t="shared" si="0"/>
        <v>4929.153762500001</v>
      </c>
      <c r="M5" s="395">
        <f t="shared" si="0"/>
        <v>4994.730087500001</v>
      </c>
      <c r="N5" s="395"/>
      <c r="O5" s="396">
        <f t="shared" ref="O5:O17" si="1">SUM(D5:M5)</f>
        <v>106762.97492500002</v>
      </c>
      <c r="P5" s="141">
        <f t="shared" ref="P5:P14" si="2">O5/$O$5</f>
        <v>1</v>
      </c>
      <c r="R5" s="522">
        <f t="shared" ref="R5:AA5" si="3">D5/$O$5</f>
        <v>0.56042073614032906</v>
      </c>
      <c r="S5" s="522">
        <f t="shared" si="3"/>
        <v>8.2510686229831098E-2</v>
      </c>
      <c r="T5" s="522">
        <f t="shared" si="3"/>
        <v>4.2483790056302616E-2</v>
      </c>
      <c r="U5" s="522">
        <f t="shared" si="3"/>
        <v>4.3098013526996146E-2</v>
      </c>
      <c r="V5" s="522">
        <f t="shared" si="3"/>
        <v>4.3712236997689675E-2</v>
      </c>
      <c r="W5" s="522">
        <f t="shared" si="3"/>
        <v>4.4326460468383205E-2</v>
      </c>
      <c r="X5" s="522">
        <f t="shared" si="3"/>
        <v>4.4940683939076742E-2</v>
      </c>
      <c r="Y5" s="522">
        <f t="shared" si="3"/>
        <v>4.5554907409770272E-2</v>
      </c>
      <c r="Z5" s="522">
        <f t="shared" si="3"/>
        <v>4.6169130880463802E-2</v>
      </c>
      <c r="AA5" s="522">
        <f t="shared" si="3"/>
        <v>4.6783354351157332E-2</v>
      </c>
      <c r="AB5" s="522"/>
      <c r="AC5" s="522">
        <f>SUM(R5:AA5)</f>
        <v>0.99999999999999989</v>
      </c>
    </row>
    <row r="6" spans="1:29" s="102" customFormat="1" ht="18" customHeight="1">
      <c r="A6" s="127"/>
      <c r="B6" s="130">
        <v>1.1000000000000001</v>
      </c>
      <c r="C6" s="131" t="s">
        <v>9</v>
      </c>
      <c r="D6" s="397"/>
      <c r="E6" s="397">
        <f>'附表1.1 总投资估算（明细）'!$H$4*(R12+S12)</f>
        <v>8119.5100000000011</v>
      </c>
      <c r="F6" s="397">
        <f>'附表1.1 总投资估算（明细）'!$H$4*'附表2 投资计划与资金筹措平衡表 '!T$12</f>
        <v>4059.7550000000006</v>
      </c>
      <c r="G6" s="397">
        <f>'附表1.1 总投资估算（明细）'!$H$4*'附表2 投资计划与资金筹措平衡表 '!U$12</f>
        <v>4059.7550000000006</v>
      </c>
      <c r="H6" s="397">
        <f>'附表1.1 总投资估算（明细）'!$H$4*'附表2 投资计划与资金筹措平衡表 '!V$12</f>
        <v>4059.7550000000006</v>
      </c>
      <c r="I6" s="397">
        <f>'附表1.1 总投资估算（明细）'!$H$4*'附表2 投资计划与资金筹措平衡表 '!W$12</f>
        <v>4059.7550000000006</v>
      </c>
      <c r="J6" s="397">
        <f>'附表1.1 总投资估算（明细）'!$H$4*'附表2 投资计划与资金筹措平衡表 '!X$12</f>
        <v>4059.7550000000006</v>
      </c>
      <c r="K6" s="397">
        <f>'附表1.1 总投资估算（明细）'!$H$4*'附表2 投资计划与资金筹措平衡表 '!Y$12</f>
        <v>4059.7550000000006</v>
      </c>
      <c r="L6" s="397">
        <f>'附表1.1 总投资估算（明细）'!$H$4*'附表2 投资计划与资金筹措平衡表 '!Z$12</f>
        <v>4059.7550000000006</v>
      </c>
      <c r="M6" s="397">
        <f>'附表1.1 总投资估算（明细）'!$H$4*'附表2 投资计划与资金筹措平衡表 '!AA$12</f>
        <v>4059.7550000000006</v>
      </c>
      <c r="N6" s="397"/>
      <c r="O6" s="396">
        <f t="shared" si="1"/>
        <v>40597.550000000003</v>
      </c>
      <c r="P6" s="141">
        <f t="shared" si="2"/>
        <v>0.38025869950251384</v>
      </c>
      <c r="R6" s="734" t="s">
        <v>576</v>
      </c>
      <c r="S6" s="735"/>
      <c r="T6" s="735"/>
      <c r="U6" s="735"/>
      <c r="V6" s="735"/>
      <c r="W6" s="735"/>
      <c r="X6" s="735"/>
      <c r="Y6" s="735"/>
      <c r="Z6" s="735"/>
      <c r="AA6" s="735"/>
      <c r="AB6" s="735"/>
      <c r="AC6" s="736"/>
    </row>
    <row r="7" spans="1:29" s="102" customFormat="1" ht="22" customHeight="1">
      <c r="A7" s="127"/>
      <c r="B7" s="130">
        <v>1.2</v>
      </c>
      <c r="C7" s="131" t="s">
        <v>96</v>
      </c>
      <c r="D7" s="397">
        <f>'附表1.1 总投资估算（明细）'!H38</f>
        <v>59832.185000000005</v>
      </c>
      <c r="E7" s="397">
        <f>('附表1.1 总投资估算（明细）'!$H$37-'附表1.1 总投资估算（明细）'!$H$38)*(R16+S16)</f>
        <v>624</v>
      </c>
      <c r="F7" s="397">
        <f>('附表1.1 总投资估算（明细）'!$H$37-'附表1.1 总投资估算（明细）'!$H$38)*T16</f>
        <v>312</v>
      </c>
      <c r="G7" s="397">
        <f>('附表1.1 总投资估算（明细）'!$H$37-'附表1.1 总投资估算（明细）'!$H$38)*U16</f>
        <v>312</v>
      </c>
      <c r="H7" s="397">
        <f>('附表1.1 总投资估算（明细）'!$H$37-'附表1.1 总投资估算（明细）'!$H$38)*V16</f>
        <v>312</v>
      </c>
      <c r="I7" s="397">
        <f>('附表1.1 总投资估算（明细）'!$H$37-'附表1.1 总投资估算（明细）'!$H$38)*W16</f>
        <v>312</v>
      </c>
      <c r="J7" s="397">
        <f>('附表1.1 总投资估算（明细）'!$H$37-'附表1.1 总投资估算（明细）'!$H$38)*X16</f>
        <v>312</v>
      </c>
      <c r="K7" s="397">
        <f>('附表1.1 总投资估算（明细）'!$H$37-'附表1.1 总投资估算（明细）'!$H$38)*Y16</f>
        <v>312</v>
      </c>
      <c r="L7" s="397">
        <f>('附表1.1 总投资估算（明细）'!$H$37-'附表1.1 总投资估算（明细）'!$H$38)*Z16</f>
        <v>312</v>
      </c>
      <c r="M7" s="397">
        <f>('附表1.1 总投资估算（明细）'!$H$37-'附表1.1 总投资估算（明细）'!$H$38)*AA16</f>
        <v>312</v>
      </c>
      <c r="N7" s="397">
        <f>'附表1.1 总投资估算（明细）'!$H$37*AB16</f>
        <v>0</v>
      </c>
      <c r="O7" s="396">
        <f t="shared" si="1"/>
        <v>62952.185000000005</v>
      </c>
      <c r="P7" s="141">
        <f t="shared" si="2"/>
        <v>0.58964435043350305</v>
      </c>
      <c r="R7" s="737"/>
      <c r="S7" s="738"/>
      <c r="T7" s="738"/>
      <c r="U7" s="738"/>
      <c r="V7" s="738"/>
      <c r="W7" s="738"/>
      <c r="X7" s="738"/>
      <c r="Y7" s="738"/>
      <c r="Z7" s="738"/>
      <c r="AA7" s="738"/>
      <c r="AB7" s="738"/>
      <c r="AC7" s="739"/>
    </row>
    <row r="8" spans="1:29" s="102" customFormat="1" ht="21" customHeight="1">
      <c r="A8" s="127"/>
      <c r="B8" s="130">
        <v>1.3</v>
      </c>
      <c r="C8" s="131" t="s">
        <v>65</v>
      </c>
      <c r="D8" s="397">
        <f>D20+D25</f>
        <v>0</v>
      </c>
      <c r="E8" s="397">
        <f t="shared" ref="E8:M8" si="4">E20+E25</f>
        <v>0</v>
      </c>
      <c r="F8" s="397">
        <f t="shared" si="4"/>
        <v>0</v>
      </c>
      <c r="G8" s="397">
        <f t="shared" si="4"/>
        <v>0</v>
      </c>
      <c r="H8" s="397">
        <f t="shared" si="4"/>
        <v>0</v>
      </c>
      <c r="I8" s="397">
        <f t="shared" si="4"/>
        <v>0</v>
      </c>
      <c r="J8" s="397">
        <f t="shared" si="4"/>
        <v>0</v>
      </c>
      <c r="K8" s="397">
        <f t="shared" si="4"/>
        <v>0</v>
      </c>
      <c r="L8" s="397">
        <f t="shared" si="4"/>
        <v>0</v>
      </c>
      <c r="M8" s="397">
        <f t="shared" si="4"/>
        <v>0</v>
      </c>
      <c r="N8" s="397"/>
      <c r="O8" s="396">
        <f t="shared" si="1"/>
        <v>0</v>
      </c>
      <c r="P8" s="141">
        <f t="shared" si="2"/>
        <v>0</v>
      </c>
      <c r="R8" s="737"/>
      <c r="S8" s="738"/>
      <c r="T8" s="738"/>
      <c r="U8" s="738"/>
      <c r="V8" s="738"/>
      <c r="W8" s="738"/>
      <c r="X8" s="738"/>
      <c r="Y8" s="738"/>
      <c r="Z8" s="738"/>
      <c r="AA8" s="738"/>
      <c r="AB8" s="738"/>
      <c r="AC8" s="739"/>
    </row>
    <row r="9" spans="1:29" s="102" customFormat="1" ht="18" customHeight="1">
      <c r="A9" s="127"/>
      <c r="B9" s="130">
        <v>1.4</v>
      </c>
      <c r="C9" s="131" t="s">
        <v>70</v>
      </c>
      <c r="D9" s="397">
        <f>D15+D19+D24</f>
        <v>0</v>
      </c>
      <c r="E9" s="397">
        <f t="shared" ref="E9:M9" si="5">E15+E19+E24</f>
        <v>65.576325000000011</v>
      </c>
      <c r="F9" s="397">
        <f t="shared" si="5"/>
        <v>163.94081250000002</v>
      </c>
      <c r="G9" s="397">
        <f t="shared" si="5"/>
        <v>229.51713750000005</v>
      </c>
      <c r="H9" s="397">
        <f t="shared" si="5"/>
        <v>295.09346250000004</v>
      </c>
      <c r="I9" s="397">
        <f t="shared" si="5"/>
        <v>360.66978750000004</v>
      </c>
      <c r="J9" s="397">
        <f t="shared" si="5"/>
        <v>426.24611250000009</v>
      </c>
      <c r="K9" s="397">
        <f t="shared" si="5"/>
        <v>491.82243750000009</v>
      </c>
      <c r="L9" s="397">
        <f t="shared" si="5"/>
        <v>557.39876250000009</v>
      </c>
      <c r="M9" s="397">
        <f t="shared" si="5"/>
        <v>622.9750875000002</v>
      </c>
      <c r="N9" s="397"/>
      <c r="O9" s="396">
        <f t="shared" si="1"/>
        <v>3213.2399250000008</v>
      </c>
      <c r="P9" s="141">
        <f t="shared" si="2"/>
        <v>3.0096950063983056E-2</v>
      </c>
      <c r="R9" s="741" t="s">
        <v>97</v>
      </c>
      <c r="S9" s="741"/>
      <c r="T9" s="741"/>
      <c r="U9" s="741"/>
      <c r="V9" s="741"/>
      <c r="W9" s="741"/>
      <c r="X9" s="741"/>
      <c r="Y9" s="741"/>
      <c r="Z9" s="741"/>
      <c r="AA9" s="741"/>
      <c r="AB9" s="741"/>
      <c r="AC9" s="741"/>
    </row>
    <row r="10" spans="1:29" s="102" customFormat="1" ht="18" hidden="1" customHeight="1">
      <c r="A10" s="127"/>
      <c r="B10" s="130">
        <v>1.5</v>
      </c>
      <c r="C10" s="132" t="s">
        <v>71</v>
      </c>
      <c r="D10" s="397"/>
      <c r="E10" s="397"/>
      <c r="F10" s="397"/>
      <c r="G10" s="397"/>
      <c r="H10" s="397"/>
      <c r="I10" s="397"/>
      <c r="J10" s="397"/>
      <c r="K10" s="397"/>
      <c r="L10" s="397"/>
      <c r="M10" s="397">
        <f>M20</f>
        <v>0</v>
      </c>
      <c r="N10" s="397"/>
      <c r="O10" s="396">
        <f t="shared" si="1"/>
        <v>0</v>
      </c>
      <c r="P10" s="141">
        <f t="shared" si="2"/>
        <v>0</v>
      </c>
      <c r="R10" s="749" t="s">
        <v>97</v>
      </c>
      <c r="S10" s="749"/>
      <c r="T10" s="749"/>
      <c r="U10" s="749"/>
      <c r="V10" s="749"/>
      <c r="W10" s="749"/>
      <c r="X10" s="749"/>
      <c r="Y10" s="749"/>
      <c r="Z10" s="749"/>
      <c r="AA10" s="749"/>
      <c r="AB10" s="749"/>
      <c r="AC10" s="749"/>
    </row>
    <row r="11" spans="1:29" s="102" customFormat="1" ht="27" customHeight="1">
      <c r="A11" s="127"/>
      <c r="B11" s="128">
        <v>2</v>
      </c>
      <c r="C11" s="129" t="s">
        <v>98</v>
      </c>
      <c r="D11" s="395">
        <f>D12+D16+D21</f>
        <v>59832.185000000005</v>
      </c>
      <c r="E11" s="395">
        <f t="shared" ref="E11:M11" si="6">E12+E16+E21</f>
        <v>8809.086325000002</v>
      </c>
      <c r="F11" s="395">
        <f t="shared" si="6"/>
        <v>4535.695812500001</v>
      </c>
      <c r="G11" s="395">
        <f t="shared" si="6"/>
        <v>4601.272137500001</v>
      </c>
      <c r="H11" s="395">
        <f t="shared" si="6"/>
        <v>4666.848462500001</v>
      </c>
      <c r="I11" s="395">
        <f t="shared" si="6"/>
        <v>4732.424787500001</v>
      </c>
      <c r="J11" s="395">
        <f t="shared" si="6"/>
        <v>4798.001112500001</v>
      </c>
      <c r="K11" s="395">
        <f t="shared" si="6"/>
        <v>4863.577437500001</v>
      </c>
      <c r="L11" s="395">
        <f t="shared" si="6"/>
        <v>4929.153762500001</v>
      </c>
      <c r="M11" s="395">
        <f t="shared" si="6"/>
        <v>4994.730087500001</v>
      </c>
      <c r="N11" s="395">
        <f t="shared" ref="N11" si="7">N12+N16+N21</f>
        <v>0</v>
      </c>
      <c r="O11" s="396">
        <f t="shared" si="1"/>
        <v>106762.97492500002</v>
      </c>
      <c r="P11" s="141">
        <f t="shared" si="2"/>
        <v>1</v>
      </c>
      <c r="R11" s="484" t="s">
        <v>477</v>
      </c>
      <c r="S11" s="484" t="s">
        <v>478</v>
      </c>
      <c r="T11" s="484" t="s">
        <v>479</v>
      </c>
      <c r="U11" s="484" t="s">
        <v>480</v>
      </c>
      <c r="V11" s="484" t="s">
        <v>483</v>
      </c>
      <c r="W11" s="484" t="s">
        <v>484</v>
      </c>
      <c r="X11" s="484" t="s">
        <v>485</v>
      </c>
      <c r="Y11" s="484" t="s">
        <v>486</v>
      </c>
      <c r="Z11" s="484" t="s">
        <v>487</v>
      </c>
      <c r="AA11" s="484" t="s">
        <v>488</v>
      </c>
      <c r="AB11" s="140" t="s">
        <v>95</v>
      </c>
      <c r="AC11" s="140" t="s">
        <v>92</v>
      </c>
    </row>
    <row r="12" spans="1:29" s="102" customFormat="1" ht="17.5" customHeight="1">
      <c r="A12" s="127"/>
      <c r="B12" s="133">
        <v>2.1</v>
      </c>
      <c r="C12" s="245" t="s">
        <v>99</v>
      </c>
      <c r="D12" s="395">
        <f>SUM(D13:D15)</f>
        <v>59832.185000000005</v>
      </c>
      <c r="E12" s="395">
        <f t="shared" ref="E12:N12" si="8">SUM(E13:E15)</f>
        <v>65.576325000000011</v>
      </c>
      <c r="F12" s="395">
        <f t="shared" si="8"/>
        <v>163.94081250000002</v>
      </c>
      <c r="G12" s="395">
        <f t="shared" si="8"/>
        <v>229.51713750000005</v>
      </c>
      <c r="H12" s="395">
        <f t="shared" si="8"/>
        <v>295.09346250000004</v>
      </c>
      <c r="I12" s="395">
        <f t="shared" si="8"/>
        <v>360.66978750000004</v>
      </c>
      <c r="J12" s="395">
        <f t="shared" si="8"/>
        <v>426.24611250000009</v>
      </c>
      <c r="K12" s="395">
        <f t="shared" si="8"/>
        <v>491.82243750000009</v>
      </c>
      <c r="L12" s="395">
        <f t="shared" si="8"/>
        <v>557.39876250000009</v>
      </c>
      <c r="M12" s="395">
        <f t="shared" si="8"/>
        <v>622.9750875000002</v>
      </c>
      <c r="N12" s="395">
        <f t="shared" si="8"/>
        <v>0</v>
      </c>
      <c r="O12" s="396">
        <f t="shared" si="1"/>
        <v>63045.424925000007</v>
      </c>
      <c r="P12" s="141">
        <f t="shared" si="2"/>
        <v>0.59051768620431211</v>
      </c>
      <c r="R12" s="142">
        <v>0.1</v>
      </c>
      <c r="S12" s="142">
        <v>0.1</v>
      </c>
      <c r="T12" s="142">
        <v>0.1</v>
      </c>
      <c r="U12" s="142">
        <v>0.1</v>
      </c>
      <c r="V12" s="142">
        <v>0.1</v>
      </c>
      <c r="W12" s="142">
        <v>0.1</v>
      </c>
      <c r="X12" s="142">
        <v>0.1</v>
      </c>
      <c r="Y12" s="142">
        <v>0.1</v>
      </c>
      <c r="Z12" s="142">
        <v>0.1</v>
      </c>
      <c r="AA12" s="142">
        <v>0.1</v>
      </c>
      <c r="AB12" s="142"/>
      <c r="AC12" s="142">
        <f>SUM(R12:AB12)</f>
        <v>0.99999999999999989</v>
      </c>
    </row>
    <row r="13" spans="1:29" s="102" customFormat="1" ht="18" customHeight="1">
      <c r="A13" s="127"/>
      <c r="B13" s="130" t="s">
        <v>100</v>
      </c>
      <c r="C13" s="131" t="s">
        <v>101</v>
      </c>
      <c r="D13" s="397"/>
      <c r="E13" s="397">
        <f t="shared" ref="E13:M13" si="9">E6-E17</f>
        <v>0</v>
      </c>
      <c r="F13" s="397">
        <f t="shared" si="9"/>
        <v>0</v>
      </c>
      <c r="G13" s="397">
        <f t="shared" si="9"/>
        <v>0</v>
      </c>
      <c r="H13" s="397">
        <f t="shared" si="9"/>
        <v>0</v>
      </c>
      <c r="I13" s="397">
        <f t="shared" si="9"/>
        <v>0</v>
      </c>
      <c r="J13" s="397">
        <f t="shared" si="9"/>
        <v>0</v>
      </c>
      <c r="K13" s="397">
        <f t="shared" si="9"/>
        <v>0</v>
      </c>
      <c r="L13" s="397">
        <f t="shared" si="9"/>
        <v>0</v>
      </c>
      <c r="M13" s="397">
        <f t="shared" si="9"/>
        <v>0</v>
      </c>
      <c r="N13" s="396"/>
      <c r="O13" s="396">
        <f t="shared" si="1"/>
        <v>0</v>
      </c>
      <c r="P13" s="141">
        <f t="shared" si="2"/>
        <v>0</v>
      </c>
      <c r="R13" s="740"/>
      <c r="S13" s="740"/>
      <c r="T13" s="740"/>
      <c r="U13" s="740"/>
      <c r="V13" s="740"/>
      <c r="W13" s="740"/>
      <c r="X13" s="740"/>
      <c r="Y13" s="740"/>
      <c r="Z13" s="740"/>
      <c r="AA13" s="740"/>
      <c r="AB13" s="740"/>
      <c r="AC13" s="740"/>
    </row>
    <row r="14" spans="1:29" s="102" customFormat="1" ht="12" customHeight="1">
      <c r="A14" s="127"/>
      <c r="B14" s="130" t="s">
        <v>102</v>
      </c>
      <c r="C14" s="131" t="s">
        <v>103</v>
      </c>
      <c r="D14" s="397">
        <f>'附表1.1 总投资估算（明细）'!H38</f>
        <v>59832.185000000005</v>
      </c>
      <c r="E14" s="397">
        <f>E7-E18</f>
        <v>0</v>
      </c>
      <c r="F14" s="397">
        <f t="shared" ref="F14:M14" si="10">F7-F18</f>
        <v>0</v>
      </c>
      <c r="G14" s="397">
        <f t="shared" si="10"/>
        <v>0</v>
      </c>
      <c r="H14" s="397">
        <f t="shared" si="10"/>
        <v>0</v>
      </c>
      <c r="I14" s="397">
        <f t="shared" si="10"/>
        <v>0</v>
      </c>
      <c r="J14" s="397">
        <f t="shared" si="10"/>
        <v>0</v>
      </c>
      <c r="K14" s="397">
        <f t="shared" si="10"/>
        <v>0</v>
      </c>
      <c r="L14" s="397">
        <f t="shared" si="10"/>
        <v>0</v>
      </c>
      <c r="M14" s="397">
        <f t="shared" si="10"/>
        <v>0</v>
      </c>
      <c r="N14" s="395"/>
      <c r="O14" s="396">
        <f t="shared" si="1"/>
        <v>59832.185000000005</v>
      </c>
      <c r="P14" s="141">
        <f t="shared" si="2"/>
        <v>0.56042073614032906</v>
      </c>
      <c r="R14" s="741" t="s">
        <v>104</v>
      </c>
      <c r="S14" s="741"/>
      <c r="T14" s="741"/>
      <c r="U14" s="741"/>
      <c r="V14" s="741"/>
      <c r="W14" s="741"/>
      <c r="X14" s="741"/>
      <c r="Y14" s="741"/>
      <c r="Z14" s="741"/>
      <c r="AA14" s="741"/>
      <c r="AB14" s="741"/>
      <c r="AC14" s="741"/>
    </row>
    <row r="15" spans="1:29" s="102" customFormat="1" ht="18" customHeight="1">
      <c r="A15" s="127"/>
      <c r="B15" s="130" t="s">
        <v>105</v>
      </c>
      <c r="C15" s="131" t="s">
        <v>106</v>
      </c>
      <c r="D15" s="397"/>
      <c r="E15" s="397">
        <f t="shared" ref="E15:M15" si="11">E29</f>
        <v>65.576325000000011</v>
      </c>
      <c r="F15" s="397">
        <f t="shared" si="11"/>
        <v>163.94081250000002</v>
      </c>
      <c r="G15" s="397">
        <f t="shared" si="11"/>
        <v>229.51713750000005</v>
      </c>
      <c r="H15" s="397">
        <f t="shared" si="11"/>
        <v>295.09346250000004</v>
      </c>
      <c r="I15" s="397">
        <f t="shared" si="11"/>
        <v>360.66978750000004</v>
      </c>
      <c r="J15" s="397">
        <f t="shared" si="11"/>
        <v>426.24611250000009</v>
      </c>
      <c r="K15" s="397">
        <f t="shared" si="11"/>
        <v>491.82243750000009</v>
      </c>
      <c r="L15" s="397">
        <f t="shared" si="11"/>
        <v>557.39876250000009</v>
      </c>
      <c r="M15" s="397">
        <f t="shared" si="11"/>
        <v>622.9750875000002</v>
      </c>
      <c r="N15" s="395"/>
      <c r="O15" s="396">
        <f t="shared" si="1"/>
        <v>3213.2399250000008</v>
      </c>
      <c r="P15" s="143"/>
      <c r="R15" s="484" t="s">
        <v>477</v>
      </c>
      <c r="S15" s="484" t="s">
        <v>478</v>
      </c>
      <c r="T15" s="484" t="s">
        <v>479</v>
      </c>
      <c r="U15" s="484" t="s">
        <v>480</v>
      </c>
      <c r="V15" s="484" t="s">
        <v>483</v>
      </c>
      <c r="W15" s="484" t="s">
        <v>484</v>
      </c>
      <c r="X15" s="484" t="s">
        <v>485</v>
      </c>
      <c r="Y15" s="484" t="s">
        <v>486</v>
      </c>
      <c r="Z15" s="484" t="s">
        <v>487</v>
      </c>
      <c r="AA15" s="484" t="s">
        <v>488</v>
      </c>
      <c r="AB15" s="140" t="s">
        <v>95</v>
      </c>
      <c r="AC15" s="140" t="s">
        <v>92</v>
      </c>
    </row>
    <row r="16" spans="1:29" s="102" customFormat="1" ht="18" customHeight="1">
      <c r="A16" s="127"/>
      <c r="B16" s="133">
        <v>2.2000000000000002</v>
      </c>
      <c r="C16" s="245" t="s">
        <v>107</v>
      </c>
      <c r="D16" s="395">
        <f t="shared" ref="D16:M16" si="12">D17+D18+D19+D20</f>
        <v>0</v>
      </c>
      <c r="E16" s="395">
        <f t="shared" si="12"/>
        <v>8743.510000000002</v>
      </c>
      <c r="F16" s="395">
        <f t="shared" si="12"/>
        <v>4371.755000000001</v>
      </c>
      <c r="G16" s="395">
        <f t="shared" si="12"/>
        <v>4371.755000000001</v>
      </c>
      <c r="H16" s="395">
        <f t="shared" si="12"/>
        <v>4371.755000000001</v>
      </c>
      <c r="I16" s="395">
        <f t="shared" si="12"/>
        <v>4371.755000000001</v>
      </c>
      <c r="J16" s="395">
        <f t="shared" si="12"/>
        <v>4371.755000000001</v>
      </c>
      <c r="K16" s="395">
        <f t="shared" si="12"/>
        <v>4371.755000000001</v>
      </c>
      <c r="L16" s="395">
        <f t="shared" si="12"/>
        <v>4371.755000000001</v>
      </c>
      <c r="M16" s="395">
        <f t="shared" si="12"/>
        <v>4371.755000000001</v>
      </c>
      <c r="N16" s="395"/>
      <c r="O16" s="396">
        <f t="shared" si="1"/>
        <v>43717.550000000017</v>
      </c>
      <c r="P16" s="141">
        <f t="shared" ref="P16:P25" si="13">O16/$O$5</f>
        <v>0.40948231379568789</v>
      </c>
      <c r="R16" s="142">
        <f>R12</f>
        <v>0.1</v>
      </c>
      <c r="S16" s="142">
        <f t="shared" ref="S16:AA16" si="14">S12</f>
        <v>0.1</v>
      </c>
      <c r="T16" s="142">
        <f t="shared" si="14"/>
        <v>0.1</v>
      </c>
      <c r="U16" s="142">
        <f t="shared" si="14"/>
        <v>0.1</v>
      </c>
      <c r="V16" s="142">
        <f t="shared" si="14"/>
        <v>0.1</v>
      </c>
      <c r="W16" s="142">
        <f t="shared" si="14"/>
        <v>0.1</v>
      </c>
      <c r="X16" s="142">
        <f t="shared" si="14"/>
        <v>0.1</v>
      </c>
      <c r="Y16" s="142">
        <f t="shared" si="14"/>
        <v>0.1</v>
      </c>
      <c r="Z16" s="142">
        <f t="shared" si="14"/>
        <v>0.1</v>
      </c>
      <c r="AA16" s="142">
        <f t="shared" si="14"/>
        <v>0.1</v>
      </c>
      <c r="AB16" s="142"/>
      <c r="AC16" s="142">
        <f>SUM(R16:AA16)</f>
        <v>0.99999999999999989</v>
      </c>
    </row>
    <row r="17" spans="1:29" s="102" customFormat="1" ht="18" customHeight="1">
      <c r="A17" s="127"/>
      <c r="B17" s="130" t="s">
        <v>108</v>
      </c>
      <c r="C17" s="134" t="s">
        <v>101</v>
      </c>
      <c r="D17" s="397"/>
      <c r="E17" s="397">
        <f>$R$21*(S12+R12)</f>
        <v>8119.5100000000011</v>
      </c>
      <c r="F17" s="397">
        <f t="shared" ref="F17:M17" si="15">$R$21*T12</f>
        <v>4059.7550000000006</v>
      </c>
      <c r="G17" s="397">
        <f t="shared" si="15"/>
        <v>4059.7550000000006</v>
      </c>
      <c r="H17" s="397">
        <f t="shared" si="15"/>
        <v>4059.7550000000006</v>
      </c>
      <c r="I17" s="397">
        <f t="shared" si="15"/>
        <v>4059.7550000000006</v>
      </c>
      <c r="J17" s="397">
        <f t="shared" si="15"/>
        <v>4059.7550000000006</v>
      </c>
      <c r="K17" s="397">
        <f t="shared" si="15"/>
        <v>4059.7550000000006</v>
      </c>
      <c r="L17" s="397">
        <f t="shared" si="15"/>
        <v>4059.7550000000006</v>
      </c>
      <c r="M17" s="397">
        <f t="shared" si="15"/>
        <v>4059.7550000000006</v>
      </c>
      <c r="N17" s="397">
        <f t="shared" ref="N17" si="16">$R$23*AB12</f>
        <v>0</v>
      </c>
      <c r="O17" s="396">
        <f t="shared" si="1"/>
        <v>40597.550000000003</v>
      </c>
      <c r="P17" s="141">
        <f t="shared" si="13"/>
        <v>0.38025869950251384</v>
      </c>
      <c r="R17" s="734" t="s">
        <v>239</v>
      </c>
      <c r="S17" s="735"/>
      <c r="T17" s="735"/>
      <c r="U17" s="735"/>
      <c r="V17" s="735"/>
      <c r="W17" s="735"/>
      <c r="X17" s="735"/>
      <c r="Y17" s="735"/>
      <c r="Z17" s="735"/>
      <c r="AA17" s="735"/>
      <c r="AB17" s="735"/>
      <c r="AC17" s="736"/>
    </row>
    <row r="18" spans="1:29" s="102" customFormat="1" ht="18" customHeight="1">
      <c r="A18" s="127"/>
      <c r="B18" s="130" t="s">
        <v>109</v>
      </c>
      <c r="C18" s="134" t="s">
        <v>103</v>
      </c>
      <c r="D18" s="397">
        <v>0</v>
      </c>
      <c r="E18" s="397">
        <f>$R$22*(S16+R16)</f>
        <v>624</v>
      </c>
      <c r="F18" s="397">
        <f t="shared" ref="F18:M18" si="17">$R$22*T16</f>
        <v>312</v>
      </c>
      <c r="G18" s="397">
        <f t="shared" si="17"/>
        <v>312</v>
      </c>
      <c r="H18" s="397">
        <f t="shared" si="17"/>
        <v>312</v>
      </c>
      <c r="I18" s="397">
        <f t="shared" si="17"/>
        <v>312</v>
      </c>
      <c r="J18" s="397">
        <f t="shared" si="17"/>
        <v>312</v>
      </c>
      <c r="K18" s="397">
        <f t="shared" si="17"/>
        <v>312</v>
      </c>
      <c r="L18" s="397">
        <f t="shared" si="17"/>
        <v>312</v>
      </c>
      <c r="M18" s="397">
        <f t="shared" si="17"/>
        <v>312</v>
      </c>
      <c r="N18" s="397"/>
      <c r="O18" s="398">
        <f t="shared" ref="O18:O25" si="18">SUM(D18:N18)</f>
        <v>3120</v>
      </c>
      <c r="P18" s="141">
        <f t="shared" si="13"/>
        <v>2.9223614293173928E-2</v>
      </c>
      <c r="R18" s="737"/>
      <c r="S18" s="738"/>
      <c r="T18" s="738"/>
      <c r="U18" s="738"/>
      <c r="V18" s="738"/>
      <c r="W18" s="738"/>
      <c r="X18" s="738"/>
      <c r="Y18" s="738"/>
      <c r="Z18" s="738"/>
      <c r="AA18" s="738"/>
      <c r="AB18" s="738"/>
      <c r="AC18" s="739"/>
    </row>
    <row r="19" spans="1:29" s="102" customFormat="1" ht="18" customHeight="1">
      <c r="A19" s="127"/>
      <c r="B19" s="130" t="s">
        <v>110</v>
      </c>
      <c r="C19" s="134" t="s">
        <v>106</v>
      </c>
      <c r="D19" s="397">
        <v>0</v>
      </c>
      <c r="E19" s="397">
        <v>0</v>
      </c>
      <c r="F19" s="397">
        <v>0</v>
      </c>
      <c r="G19" s="397">
        <v>0</v>
      </c>
      <c r="H19" s="397">
        <v>0</v>
      </c>
      <c r="I19" s="397">
        <v>0</v>
      </c>
      <c r="J19" s="397">
        <v>0</v>
      </c>
      <c r="K19" s="397">
        <v>0</v>
      </c>
      <c r="L19" s="397">
        <v>0</v>
      </c>
      <c r="M19" s="397">
        <v>0</v>
      </c>
      <c r="N19" s="397"/>
      <c r="O19" s="398">
        <f t="shared" si="18"/>
        <v>0</v>
      </c>
      <c r="P19" s="141">
        <f t="shared" si="13"/>
        <v>0</v>
      </c>
      <c r="R19" s="737"/>
      <c r="S19" s="738"/>
      <c r="T19" s="738"/>
      <c r="U19" s="738"/>
      <c r="V19" s="738"/>
      <c r="W19" s="738"/>
      <c r="X19" s="738"/>
      <c r="Y19" s="738"/>
      <c r="Z19" s="738"/>
      <c r="AA19" s="738"/>
      <c r="AB19" s="738"/>
      <c r="AC19" s="739"/>
    </row>
    <row r="20" spans="1:29" s="102" customFormat="1" ht="18" customHeight="1">
      <c r="B20" s="130" t="s">
        <v>111</v>
      </c>
      <c r="C20" s="134" t="s">
        <v>112</v>
      </c>
      <c r="D20" s="397"/>
      <c r="E20" s="397"/>
      <c r="F20" s="397"/>
      <c r="G20" s="397"/>
      <c r="H20" s="397"/>
      <c r="I20" s="397"/>
      <c r="J20" s="397"/>
      <c r="K20" s="397"/>
      <c r="L20" s="397"/>
      <c r="M20" s="397"/>
      <c r="N20" s="397"/>
      <c r="O20" s="398">
        <f t="shared" si="18"/>
        <v>0</v>
      </c>
      <c r="P20" s="141">
        <f t="shared" si="13"/>
        <v>0</v>
      </c>
      <c r="R20" s="742"/>
      <c r="S20" s="743"/>
      <c r="T20" s="743"/>
      <c r="U20" s="743"/>
      <c r="V20" s="743"/>
      <c r="W20" s="743"/>
      <c r="X20" s="743"/>
      <c r="Y20" s="743"/>
      <c r="Z20" s="743"/>
      <c r="AA20" s="743"/>
      <c r="AB20" s="743"/>
      <c r="AC20" s="744"/>
    </row>
    <row r="21" spans="1:29" s="102" customFormat="1" ht="18" customHeight="1">
      <c r="B21" s="243">
        <v>2.2999999999999998</v>
      </c>
      <c r="C21" s="244" t="s">
        <v>360</v>
      </c>
      <c r="D21" s="395">
        <f t="shared" ref="D21:N21" si="19">D22+D23+D24+D25</f>
        <v>0</v>
      </c>
      <c r="E21" s="395">
        <f t="shared" si="19"/>
        <v>0</v>
      </c>
      <c r="F21" s="395">
        <f t="shared" si="19"/>
        <v>0</v>
      </c>
      <c r="G21" s="395">
        <f t="shared" si="19"/>
        <v>0</v>
      </c>
      <c r="H21" s="395">
        <f t="shared" si="19"/>
        <v>0</v>
      </c>
      <c r="I21" s="395">
        <f t="shared" si="19"/>
        <v>0</v>
      </c>
      <c r="J21" s="395">
        <f t="shared" si="19"/>
        <v>0</v>
      </c>
      <c r="K21" s="395">
        <f t="shared" si="19"/>
        <v>0</v>
      </c>
      <c r="L21" s="395">
        <f t="shared" si="19"/>
        <v>0</v>
      </c>
      <c r="M21" s="395">
        <f t="shared" si="19"/>
        <v>0</v>
      </c>
      <c r="N21" s="395">
        <f t="shared" si="19"/>
        <v>0</v>
      </c>
      <c r="O21" s="396">
        <f t="shared" si="18"/>
        <v>0</v>
      </c>
      <c r="P21" s="141">
        <f t="shared" si="13"/>
        <v>0</v>
      </c>
      <c r="R21" s="397">
        <f>'附表1.1 总投资估算（明细）'!H4</f>
        <v>40597.550000000003</v>
      </c>
      <c r="S21" s="104"/>
      <c r="T21" s="104"/>
      <c r="U21" s="104"/>
      <c r="V21" s="104"/>
      <c r="W21" s="104"/>
      <c r="X21" s="104"/>
      <c r="Y21" s="104"/>
      <c r="Z21" s="104"/>
      <c r="AA21" s="104"/>
      <c r="AB21" s="104"/>
      <c r="AC21" s="104"/>
    </row>
    <row r="22" spans="1:29" s="102" customFormat="1" ht="18" customHeight="1">
      <c r="B22" s="130" t="s">
        <v>108</v>
      </c>
      <c r="C22" s="134" t="s">
        <v>101</v>
      </c>
      <c r="D22" s="399">
        <f>D6*'0基本假设 '!$N$29</f>
        <v>0</v>
      </c>
      <c r="E22" s="399">
        <f>E6*'0基本假设 '!$N$29</f>
        <v>0</v>
      </c>
      <c r="F22" s="399">
        <f>F6*'0基本假设 '!$N$29</f>
        <v>0</v>
      </c>
      <c r="G22" s="399">
        <f>G6*'0基本假设 '!$N$29</f>
        <v>0</v>
      </c>
      <c r="H22" s="399">
        <f>H6*'0基本假设 '!$N$29</f>
        <v>0</v>
      </c>
      <c r="I22" s="399">
        <f>I6*'0基本假设 '!$N$29</f>
        <v>0</v>
      </c>
      <c r="J22" s="399">
        <f>J6*'0基本假设 '!$N$29</f>
        <v>0</v>
      </c>
      <c r="K22" s="399">
        <f>K6*'0基本假设 '!$N$29</f>
        <v>0</v>
      </c>
      <c r="L22" s="399">
        <f>L6*'0基本假设 '!$N$29</f>
        <v>0</v>
      </c>
      <c r="M22" s="399">
        <f>M6*'0基本假设 '!$N$29</f>
        <v>0</v>
      </c>
      <c r="N22" s="397"/>
      <c r="O22" s="398">
        <f t="shared" si="18"/>
        <v>0</v>
      </c>
      <c r="P22" s="141">
        <f t="shared" si="13"/>
        <v>0</v>
      </c>
      <c r="R22" s="397">
        <f>'附表1.1 总投资估算（明细）'!H37-'附表1.1 总投资估算（明细）'!H38</f>
        <v>3120</v>
      </c>
      <c r="S22" s="104"/>
      <c r="T22" s="104"/>
      <c r="U22" s="104"/>
      <c r="V22" s="104"/>
      <c r="W22" s="104"/>
      <c r="X22" s="104"/>
      <c r="Y22" s="104"/>
      <c r="Z22" s="104"/>
      <c r="AA22" s="104"/>
      <c r="AB22" s="104"/>
      <c r="AC22" s="104"/>
    </row>
    <row r="23" spans="1:29" s="102" customFormat="1" ht="18" customHeight="1">
      <c r="B23" s="130" t="s">
        <v>109</v>
      </c>
      <c r="C23" s="134" t="s">
        <v>103</v>
      </c>
      <c r="D23" s="397"/>
      <c r="E23" s="397"/>
      <c r="F23" s="397"/>
      <c r="G23" s="397"/>
      <c r="H23" s="397"/>
      <c r="I23" s="397"/>
      <c r="J23" s="397"/>
      <c r="K23" s="397"/>
      <c r="L23" s="397"/>
      <c r="M23" s="397"/>
      <c r="N23" s="397"/>
      <c r="O23" s="398">
        <f t="shared" si="18"/>
        <v>0</v>
      </c>
      <c r="P23" s="141">
        <f t="shared" si="13"/>
        <v>0</v>
      </c>
      <c r="R23" s="397">
        <f>'附表1.1 总投资估算（明细）'!H4+'附表1.1 总投资估算（明细）'!H43</f>
        <v>43717.55</v>
      </c>
      <c r="S23" s="104"/>
      <c r="T23" s="104"/>
      <c r="U23" s="104"/>
      <c r="V23" s="104"/>
      <c r="W23" s="104"/>
      <c r="X23" s="104"/>
      <c r="Y23" s="104"/>
      <c r="Z23" s="104"/>
      <c r="AA23" s="104"/>
      <c r="AB23" s="104"/>
      <c r="AC23" s="104"/>
    </row>
    <row r="24" spans="1:29" s="102" customFormat="1" ht="18" customHeight="1">
      <c r="B24" s="130" t="s">
        <v>110</v>
      </c>
      <c r="C24" s="134" t="s">
        <v>106</v>
      </c>
      <c r="D24" s="399"/>
      <c r="E24" s="397"/>
      <c r="F24" s="397"/>
      <c r="G24" s="397"/>
      <c r="H24" s="397"/>
      <c r="I24" s="397"/>
      <c r="J24" s="397"/>
      <c r="K24" s="397"/>
      <c r="L24" s="397"/>
      <c r="M24" s="397"/>
      <c r="N24" s="397"/>
      <c r="O24" s="398">
        <f t="shared" si="18"/>
        <v>0</v>
      </c>
      <c r="P24" s="141">
        <f t="shared" si="13"/>
        <v>0</v>
      </c>
      <c r="R24" s="104"/>
      <c r="S24" s="104"/>
      <c r="T24" s="104"/>
      <c r="U24" s="104"/>
      <c r="V24" s="104"/>
      <c r="W24" s="104"/>
      <c r="X24" s="104"/>
      <c r="Y24" s="104"/>
      <c r="Z24" s="104"/>
      <c r="AA24" s="104"/>
      <c r="AB24" s="104"/>
      <c r="AC24" s="104"/>
    </row>
    <row r="25" spans="1:29" s="102" customFormat="1" ht="18" customHeight="1">
      <c r="B25" s="130" t="s">
        <v>111</v>
      </c>
      <c r="C25" s="134" t="s">
        <v>112</v>
      </c>
      <c r="D25" s="399"/>
      <c r="E25" s="397"/>
      <c r="F25" s="397"/>
      <c r="G25" s="397"/>
      <c r="H25" s="397"/>
      <c r="I25" s="397"/>
      <c r="J25" s="397"/>
      <c r="K25" s="397"/>
      <c r="L25" s="397"/>
      <c r="M25" s="397"/>
      <c r="N25" s="397"/>
      <c r="O25" s="398">
        <f t="shared" si="18"/>
        <v>0</v>
      </c>
      <c r="P25" s="141">
        <f t="shared" si="13"/>
        <v>0</v>
      </c>
      <c r="R25" s="104"/>
      <c r="S25" s="104"/>
      <c r="T25" s="104"/>
      <c r="U25" s="104"/>
      <c r="V25" s="104"/>
      <c r="W25" s="104"/>
      <c r="X25" s="104"/>
      <c r="Y25" s="104"/>
      <c r="Z25" s="104"/>
      <c r="AA25" s="104"/>
      <c r="AB25" s="104"/>
      <c r="AC25" s="104"/>
    </row>
    <row r="26" spans="1:29" s="102" customFormat="1" ht="18" customHeight="1">
      <c r="B26" s="135"/>
      <c r="C26" s="134"/>
      <c r="D26" s="136"/>
      <c r="E26" s="136"/>
      <c r="F26" s="136"/>
      <c r="G26" s="136"/>
      <c r="H26" s="136"/>
      <c r="I26" s="136"/>
      <c r="J26" s="136"/>
      <c r="K26" s="136"/>
      <c r="L26" s="136"/>
      <c r="M26" s="136"/>
      <c r="N26" s="136"/>
      <c r="O26" s="136"/>
      <c r="P26" s="144"/>
      <c r="R26" s="104"/>
      <c r="S26" s="104"/>
      <c r="T26" s="104"/>
      <c r="U26" s="104"/>
      <c r="V26" s="104"/>
      <c r="W26" s="104"/>
      <c r="X26" s="104"/>
      <c r="Y26" s="104"/>
      <c r="Z26" s="104"/>
      <c r="AA26" s="104"/>
      <c r="AB26" s="104"/>
      <c r="AC26" s="104"/>
    </row>
    <row r="27" spans="1:29" ht="23">
      <c r="B27" s="392"/>
      <c r="C27" s="389"/>
      <c r="D27" s="745" t="s">
        <v>113</v>
      </c>
      <c r="E27" s="745"/>
      <c r="F27" s="745"/>
      <c r="G27" s="745"/>
      <c r="H27" s="745"/>
      <c r="I27" s="745"/>
      <c r="J27" s="745"/>
      <c r="K27" s="745"/>
      <c r="L27" s="745"/>
      <c r="M27" s="745"/>
      <c r="N27" s="390"/>
      <c r="O27" s="390"/>
      <c r="P27" s="391"/>
    </row>
    <row r="28" spans="1:29">
      <c r="B28" s="393"/>
      <c r="C28" s="137" t="s">
        <v>114</v>
      </c>
      <c r="D28" s="400">
        <f t="shared" ref="D28:N28" si="20">D16</f>
        <v>0</v>
      </c>
      <c r="E28" s="400">
        <f t="shared" si="20"/>
        <v>8743.510000000002</v>
      </c>
      <c r="F28" s="400">
        <f t="shared" si="20"/>
        <v>4371.755000000001</v>
      </c>
      <c r="G28" s="400">
        <f t="shared" si="20"/>
        <v>4371.755000000001</v>
      </c>
      <c r="H28" s="400">
        <f t="shared" si="20"/>
        <v>4371.755000000001</v>
      </c>
      <c r="I28" s="400">
        <f t="shared" si="20"/>
        <v>4371.755000000001</v>
      </c>
      <c r="J28" s="400">
        <f t="shared" si="20"/>
        <v>4371.755000000001</v>
      </c>
      <c r="K28" s="400">
        <f t="shared" si="20"/>
        <v>4371.755000000001</v>
      </c>
      <c r="L28" s="400">
        <f t="shared" si="20"/>
        <v>4371.755000000001</v>
      </c>
      <c r="M28" s="400">
        <f t="shared" si="20"/>
        <v>4371.755000000001</v>
      </c>
      <c r="N28" s="138">
        <f t="shared" si="20"/>
        <v>0</v>
      </c>
      <c r="O28" s="386" t="s">
        <v>497</v>
      </c>
      <c r="P28" s="387"/>
    </row>
    <row r="29" spans="1:29">
      <c r="B29" s="393"/>
      <c r="C29" s="137" t="s">
        <v>115</v>
      </c>
      <c r="D29" s="400">
        <f>D28*0.5*'0基本假设 '!L34</f>
        <v>0</v>
      </c>
      <c r="E29" s="400">
        <f>D28*'0基本假设 '!L34+E28*'0基本假设 '!L34/2</f>
        <v>65.576325000000011</v>
      </c>
      <c r="F29" s="400">
        <f>SUM($E$28:E28)*'0基本假设 '!$L$34+F28*'0基本假设 '!$L$34/2</f>
        <v>163.94081250000002</v>
      </c>
      <c r="G29" s="400">
        <f>SUM($E$28:F28)*'0基本假设 '!$L$34+G28*'0基本假设 '!$L$34/2</f>
        <v>229.51713750000005</v>
      </c>
      <c r="H29" s="400">
        <f>SUM($E$28:G28)*'0基本假设 '!$L$34+H28*'0基本假设 '!$L$34/2</f>
        <v>295.09346250000004</v>
      </c>
      <c r="I29" s="400">
        <f>SUM($E$28:H28)*'0基本假设 '!$L$34+I28*'0基本假设 '!$L$34/2</f>
        <v>360.66978750000004</v>
      </c>
      <c r="J29" s="400">
        <f>SUM($E$28:I28)*'0基本假设 '!$L$34+J28*'0基本假设 '!$L$34/2</f>
        <v>426.24611250000009</v>
      </c>
      <c r="K29" s="400">
        <f>SUM($E$28:J28)*'0基本假设 '!$L$34+K28*'0基本假设 '!$L$34/2</f>
        <v>491.82243750000009</v>
      </c>
      <c r="L29" s="400">
        <f>SUM($E$28:K28)*'0基本假设 '!$L$34+L28*'0基本假设 '!$L$34/2</f>
        <v>557.39876250000009</v>
      </c>
      <c r="M29" s="400">
        <f>SUM($E$28:L28)*'0基本假设 '!$L$34+M28*'0基本假设 '!$L$34/2</f>
        <v>622.9750875000002</v>
      </c>
      <c r="N29" s="138">
        <v>0</v>
      </c>
      <c r="O29" s="388">
        <f>SUM(D29:M29)</f>
        <v>3213.2399250000008</v>
      </c>
      <c r="P29" s="388"/>
      <c r="R29" s="145"/>
    </row>
    <row r="30" spans="1:29">
      <c r="B30" s="393"/>
      <c r="C30" s="137" t="s">
        <v>116</v>
      </c>
      <c r="D30" s="139">
        <f t="shared" ref="D30:M30" si="21">R5</f>
        <v>0.56042073614032906</v>
      </c>
      <c r="E30" s="139">
        <f t="shared" si="21"/>
        <v>8.2510686229831098E-2</v>
      </c>
      <c r="F30" s="139">
        <f t="shared" si="21"/>
        <v>4.2483790056302616E-2</v>
      </c>
      <c r="G30" s="139">
        <f t="shared" si="21"/>
        <v>4.3098013526996146E-2</v>
      </c>
      <c r="H30" s="139">
        <f t="shared" si="21"/>
        <v>4.3712236997689675E-2</v>
      </c>
      <c r="I30" s="139">
        <f t="shared" si="21"/>
        <v>4.4326460468383205E-2</v>
      </c>
      <c r="J30" s="139">
        <f t="shared" si="21"/>
        <v>4.4940683939076742E-2</v>
      </c>
      <c r="K30" s="139">
        <f t="shared" si="21"/>
        <v>4.5554907409770272E-2</v>
      </c>
      <c r="L30" s="139">
        <f t="shared" si="21"/>
        <v>4.6169130880463802E-2</v>
      </c>
      <c r="M30" s="139">
        <f t="shared" si="21"/>
        <v>4.6783354351157332E-2</v>
      </c>
      <c r="N30" s="139"/>
      <c r="O30" s="394">
        <f>SUM(D30:M30)</f>
        <v>0.99999999999999989</v>
      </c>
      <c r="P30" s="388"/>
    </row>
    <row r="31" spans="1:29" ht="24.65" customHeight="1">
      <c r="B31" s="469" t="s">
        <v>554</v>
      </c>
      <c r="C31" s="470"/>
      <c r="D31"/>
    </row>
    <row r="32" spans="1:29" ht="15">
      <c r="B32" s="471"/>
      <c r="C32" s="471"/>
    </row>
  </sheetData>
  <mergeCells count="12">
    <mergeCell ref="R14:AC14"/>
    <mergeCell ref="R17:AC20"/>
    <mergeCell ref="D27:M27"/>
    <mergeCell ref="D3:N3"/>
    <mergeCell ref="R3:AC3"/>
    <mergeCell ref="R9:AC9"/>
    <mergeCell ref="R10:AC10"/>
    <mergeCell ref="B3:B4"/>
    <mergeCell ref="O3:O4"/>
    <mergeCell ref="P3:P4"/>
    <mergeCell ref="R6:AC8"/>
    <mergeCell ref="R13:AC13"/>
  </mergeCells>
  <phoneticPr fontId="27" type="noConversion"/>
  <hyperlinks>
    <hyperlink ref="B31" location="目录!A1" display="点击返回目录"/>
  </hyperlinks>
  <printOptions horizontalCentered="1"/>
  <pageMargins left="0.70763888888888904" right="0.70763888888888904" top="0.94374999999999998" bottom="0.74791666666666701" header="0.31388888888888899" footer="0.31388888888888899"/>
  <pageSetup paperSize="9" scale="4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2"/>
  <sheetViews>
    <sheetView zoomScale="70" zoomScaleNormal="70" zoomScaleSheetLayoutView="90" workbookViewId="0">
      <selection activeCell="G5" sqref="G5"/>
    </sheetView>
  </sheetViews>
  <sheetFormatPr defaultColWidth="9" defaultRowHeight="14"/>
  <cols>
    <col min="1" max="1" width="9.08984375" style="123" customWidth="1"/>
    <col min="2" max="2" width="18.90625" style="123" customWidth="1"/>
    <col min="3" max="3" width="25.26953125" style="123" customWidth="1"/>
    <col min="4" max="23" width="11.6328125" style="123" customWidth="1"/>
    <col min="24" max="16384" width="9" style="123"/>
  </cols>
  <sheetData>
    <row r="1" spans="1:34" ht="43" customHeight="1">
      <c r="A1" s="667" t="s">
        <v>721</v>
      </c>
      <c r="B1" s="668"/>
      <c r="C1" s="668"/>
      <c r="D1" s="669"/>
      <c r="E1" s="669"/>
      <c r="F1" s="669"/>
      <c r="G1" s="669"/>
      <c r="H1" s="669"/>
      <c r="I1" s="669"/>
      <c r="J1" s="669"/>
      <c r="K1" s="669"/>
      <c r="L1" s="669"/>
      <c r="M1" s="669"/>
      <c r="N1" s="669"/>
      <c r="O1" s="669"/>
      <c r="P1" s="669"/>
      <c r="Q1" s="669"/>
      <c r="R1" s="372"/>
    </row>
    <row r="2" spans="1:34" ht="28" customHeight="1">
      <c r="A2" s="654" t="s">
        <v>568</v>
      </c>
      <c r="B2" s="654" t="s">
        <v>569</v>
      </c>
      <c r="C2" s="654" t="s">
        <v>92</v>
      </c>
      <c r="D2" s="655" t="s">
        <v>477</v>
      </c>
      <c r="E2" s="655" t="s">
        <v>478</v>
      </c>
      <c r="F2" s="655" t="s">
        <v>479</v>
      </c>
      <c r="G2" s="655" t="s">
        <v>480</v>
      </c>
      <c r="H2" s="655" t="s">
        <v>481</v>
      </c>
      <c r="I2" s="655" t="s">
        <v>482</v>
      </c>
      <c r="J2" s="655" t="s">
        <v>483</v>
      </c>
      <c r="K2" s="655" t="s">
        <v>484</v>
      </c>
      <c r="L2" s="655" t="s">
        <v>485</v>
      </c>
      <c r="M2" s="655" t="s">
        <v>486</v>
      </c>
      <c r="N2" s="655" t="s">
        <v>487</v>
      </c>
      <c r="O2" s="655" t="s">
        <v>488</v>
      </c>
      <c r="P2" s="655" t="s">
        <v>489</v>
      </c>
      <c r="Q2" s="655" t="s">
        <v>490</v>
      </c>
      <c r="R2" s="655" t="s">
        <v>491</v>
      </c>
      <c r="S2" s="655" t="s">
        <v>492</v>
      </c>
      <c r="T2" s="655" t="s">
        <v>493</v>
      </c>
      <c r="U2" s="655" t="s">
        <v>494</v>
      </c>
      <c r="V2" s="655" t="s">
        <v>495</v>
      </c>
      <c r="W2" s="655" t="s">
        <v>496</v>
      </c>
    </row>
    <row r="3" spans="1:34" s="122" customFormat="1" ht="26.15" customHeight="1">
      <c r="A3" s="656">
        <v>1</v>
      </c>
      <c r="B3" s="657" t="s">
        <v>117</v>
      </c>
      <c r="C3" s="658">
        <f>SUM(D3:W3)</f>
        <v>115945.07200000001</v>
      </c>
      <c r="D3" s="659">
        <f>D4+D6</f>
        <v>0</v>
      </c>
      <c r="E3" s="659">
        <f t="shared" ref="E3:W3" si="0">E4+E6</f>
        <v>0</v>
      </c>
      <c r="F3" s="659">
        <f t="shared" si="0"/>
        <v>0</v>
      </c>
      <c r="G3" s="659">
        <f t="shared" si="0"/>
        <v>23989.014400000007</v>
      </c>
      <c r="H3" s="659">
        <f t="shared" si="0"/>
        <v>9345.6057600000004</v>
      </c>
      <c r="I3" s="659">
        <f t="shared" si="0"/>
        <v>9345.6057600000004</v>
      </c>
      <c r="J3" s="659">
        <f t="shared" si="0"/>
        <v>12943.957920000001</v>
      </c>
      <c r="K3" s="659">
        <f t="shared" si="0"/>
        <v>6946.7043200000007</v>
      </c>
      <c r="L3" s="659">
        <f t="shared" si="0"/>
        <v>4547.8028800000002</v>
      </c>
      <c r="M3" s="659">
        <f t="shared" si="0"/>
        <v>3348.3521600000004</v>
      </c>
      <c r="N3" s="659">
        <f t="shared" si="0"/>
        <v>2148.9014400000001</v>
      </c>
      <c r="O3" s="659">
        <f t="shared" si="0"/>
        <v>2148.9014400000001</v>
      </c>
      <c r="P3" s="659">
        <f t="shared" si="0"/>
        <v>2148.9014400000001</v>
      </c>
      <c r="Q3" s="659">
        <f t="shared" si="0"/>
        <v>2148.9014400000001</v>
      </c>
      <c r="R3" s="659">
        <f t="shared" si="0"/>
        <v>2148.9014400000001</v>
      </c>
      <c r="S3" s="659">
        <f t="shared" si="0"/>
        <v>2148.9014400000001</v>
      </c>
      <c r="T3" s="659">
        <f t="shared" si="0"/>
        <v>2148.9014400000001</v>
      </c>
      <c r="U3" s="659">
        <f t="shared" si="0"/>
        <v>2148.9014400000001</v>
      </c>
      <c r="V3" s="659">
        <f t="shared" si="0"/>
        <v>2148.9014400000001</v>
      </c>
      <c r="W3" s="659">
        <f t="shared" si="0"/>
        <v>26137.915840000001</v>
      </c>
      <c r="X3" s="123"/>
      <c r="Y3" s="123"/>
      <c r="Z3" s="123"/>
      <c r="AA3" s="123"/>
      <c r="AB3" s="123"/>
      <c r="AC3" s="125"/>
      <c r="AD3" s="125"/>
      <c r="AE3" s="125"/>
      <c r="AF3" s="125"/>
      <c r="AG3" s="125"/>
      <c r="AH3" s="125"/>
    </row>
    <row r="4" spans="1:34" s="551" customFormat="1" ht="19.5" customHeight="1">
      <c r="A4" s="660">
        <v>1.1000000000000001</v>
      </c>
      <c r="B4" s="661" t="s">
        <v>533</v>
      </c>
      <c r="C4" s="662">
        <f>SUM(D4:W4)</f>
        <v>115945.07200000001</v>
      </c>
      <c r="D4" s="663">
        <f>D5</f>
        <v>0</v>
      </c>
      <c r="E4" s="663">
        <f t="shared" ref="E4:W4" si="1">E5</f>
        <v>0</v>
      </c>
      <c r="F4" s="663">
        <f t="shared" si="1"/>
        <v>0</v>
      </c>
      <c r="G4" s="663">
        <f t="shared" si="1"/>
        <v>23989.014400000007</v>
      </c>
      <c r="H4" s="663">
        <f t="shared" si="1"/>
        <v>9345.6057600000004</v>
      </c>
      <c r="I4" s="663">
        <f t="shared" si="1"/>
        <v>9345.6057600000004</v>
      </c>
      <c r="J4" s="663">
        <f t="shared" si="1"/>
        <v>12943.957920000001</v>
      </c>
      <c r="K4" s="663">
        <f t="shared" si="1"/>
        <v>6946.7043200000007</v>
      </c>
      <c r="L4" s="663">
        <f t="shared" si="1"/>
        <v>4547.8028800000002</v>
      </c>
      <c r="M4" s="663">
        <f t="shared" si="1"/>
        <v>3348.3521600000004</v>
      </c>
      <c r="N4" s="663">
        <f t="shared" si="1"/>
        <v>2148.9014400000001</v>
      </c>
      <c r="O4" s="663">
        <f t="shared" si="1"/>
        <v>2148.9014400000001</v>
      </c>
      <c r="P4" s="663">
        <f t="shared" si="1"/>
        <v>2148.9014400000001</v>
      </c>
      <c r="Q4" s="663">
        <f t="shared" si="1"/>
        <v>2148.9014400000001</v>
      </c>
      <c r="R4" s="663">
        <f t="shared" si="1"/>
        <v>2148.9014400000001</v>
      </c>
      <c r="S4" s="663">
        <f t="shared" si="1"/>
        <v>2148.9014400000001</v>
      </c>
      <c r="T4" s="663">
        <f t="shared" si="1"/>
        <v>2148.9014400000001</v>
      </c>
      <c r="U4" s="663">
        <f t="shared" si="1"/>
        <v>2148.9014400000001</v>
      </c>
      <c r="V4" s="663">
        <f t="shared" si="1"/>
        <v>2148.9014400000001</v>
      </c>
      <c r="W4" s="663">
        <f t="shared" si="1"/>
        <v>26137.915840000001</v>
      </c>
      <c r="X4" s="123"/>
      <c r="Y4" s="123"/>
      <c r="Z4" s="123"/>
      <c r="AA4" s="123"/>
      <c r="AB4" s="123"/>
      <c r="AC4" s="124"/>
      <c r="AD4" s="124"/>
      <c r="AE4" s="124"/>
      <c r="AF4" s="124"/>
      <c r="AG4" s="124"/>
      <c r="AH4" s="124"/>
    </row>
    <row r="5" spans="1:34" s="551" customFormat="1" ht="19.5" customHeight="1">
      <c r="A5" s="660"/>
      <c r="B5" s="661" t="s">
        <v>525</v>
      </c>
      <c r="C5" s="662">
        <f>SUM(D5:W5)</f>
        <v>115945.07200000001</v>
      </c>
      <c r="D5" s="663">
        <f>'3.1销售情况分析'!G6</f>
        <v>0</v>
      </c>
      <c r="E5" s="663">
        <f>'3.1销售情况分析'!H6</f>
        <v>0</v>
      </c>
      <c r="F5" s="663">
        <f>'3.1销售情况分析'!I6</f>
        <v>0</v>
      </c>
      <c r="G5" s="663">
        <f>'3.1销售情况分析'!J6</f>
        <v>23989.014400000007</v>
      </c>
      <c r="H5" s="663">
        <f>'3.1销售情况分析'!K6</f>
        <v>9345.6057600000004</v>
      </c>
      <c r="I5" s="663">
        <f>'3.1销售情况分析'!L6</f>
        <v>9345.6057600000004</v>
      </c>
      <c r="J5" s="663">
        <f>'3.1销售情况分析'!M6</f>
        <v>12943.957920000001</v>
      </c>
      <c r="K5" s="663">
        <f>'3.1销售情况分析'!N6</f>
        <v>6946.7043200000007</v>
      </c>
      <c r="L5" s="663">
        <f>'3.1销售情况分析'!O6</f>
        <v>4547.8028800000002</v>
      </c>
      <c r="M5" s="663">
        <f>'3.1销售情况分析'!P6</f>
        <v>3348.3521600000004</v>
      </c>
      <c r="N5" s="663">
        <f>'3.1销售情况分析'!Q6</f>
        <v>2148.9014400000001</v>
      </c>
      <c r="O5" s="663">
        <f>'3.1销售情况分析'!R6</f>
        <v>2148.9014400000001</v>
      </c>
      <c r="P5" s="663">
        <f>'3.1销售情况分析'!S6</f>
        <v>2148.9014400000001</v>
      </c>
      <c r="Q5" s="663">
        <f>'3.1销售情况分析'!T6</f>
        <v>2148.9014400000001</v>
      </c>
      <c r="R5" s="663">
        <f>'3.1销售情况分析'!U6</f>
        <v>2148.9014400000001</v>
      </c>
      <c r="S5" s="663">
        <f>'3.1销售情况分析'!V6</f>
        <v>2148.9014400000001</v>
      </c>
      <c r="T5" s="663">
        <f>'3.1销售情况分析'!W6</f>
        <v>2148.9014400000001</v>
      </c>
      <c r="U5" s="663">
        <f>'3.1销售情况分析'!X6</f>
        <v>2148.9014400000001</v>
      </c>
      <c r="V5" s="663">
        <f>'3.1销售情况分析'!Y6</f>
        <v>2148.9014400000001</v>
      </c>
      <c r="W5" s="663">
        <f>'3.1销售情况分析'!Z6</f>
        <v>26137.915840000001</v>
      </c>
      <c r="X5" s="123"/>
      <c r="Y5" s="123"/>
      <c r="Z5" s="123"/>
      <c r="AA5" s="123"/>
      <c r="AB5" s="123"/>
      <c r="AC5" s="124"/>
      <c r="AD5" s="124"/>
      <c r="AE5" s="124"/>
      <c r="AF5" s="124"/>
      <c r="AG5" s="124"/>
      <c r="AH5" s="124"/>
    </row>
    <row r="6" spans="1:34" ht="19.5" customHeight="1">
      <c r="A6" s="660">
        <v>1.2</v>
      </c>
      <c r="B6" s="661" t="s">
        <v>684</v>
      </c>
      <c r="C6" s="662">
        <f>SUM(D6:W6)</f>
        <v>0</v>
      </c>
      <c r="D6" s="663">
        <f>'3.2 营业收入汇总表'!D9</f>
        <v>0</v>
      </c>
      <c r="E6" s="663">
        <f>'3.2 营业收入汇总表'!E9</f>
        <v>0</v>
      </c>
      <c r="F6" s="663">
        <f>'3.2 营业收入汇总表'!F9</f>
        <v>0</v>
      </c>
      <c r="G6" s="663">
        <f>'3.2 营业收入汇总表'!G9</f>
        <v>0</v>
      </c>
      <c r="H6" s="663">
        <f>'3.2 营业收入汇总表'!H9</f>
        <v>0</v>
      </c>
      <c r="I6" s="663">
        <f>'3.2 营业收入汇总表'!I9</f>
        <v>0</v>
      </c>
      <c r="J6" s="663">
        <f>'3.2 营业收入汇总表'!J9</f>
        <v>0</v>
      </c>
      <c r="K6" s="663">
        <f>'3.2 营业收入汇总表'!K9</f>
        <v>0</v>
      </c>
      <c r="L6" s="663">
        <f>'3.2 营业收入汇总表'!L9</f>
        <v>0</v>
      </c>
      <c r="M6" s="663">
        <f>'3.2 营业收入汇总表'!M9</f>
        <v>0</v>
      </c>
      <c r="N6" s="663">
        <f>'3.2 营业收入汇总表'!N9</f>
        <v>0</v>
      </c>
      <c r="O6" s="663">
        <f>'3.2 营业收入汇总表'!O9</f>
        <v>0</v>
      </c>
      <c r="P6" s="663">
        <f>'3.2 营业收入汇总表'!P9</f>
        <v>0</v>
      </c>
      <c r="Q6" s="663">
        <f>'3.2 营业收入汇总表'!Q9</f>
        <v>0</v>
      </c>
      <c r="R6" s="663">
        <f>'3.2 营业收入汇总表'!R9</f>
        <v>0</v>
      </c>
      <c r="S6" s="663">
        <f>'3.2 营业收入汇总表'!S9</f>
        <v>0</v>
      </c>
      <c r="T6" s="663">
        <f>'3.2 营业收入汇总表'!T9</f>
        <v>0</v>
      </c>
      <c r="U6" s="663">
        <f>'3.2 营业收入汇总表'!U9</f>
        <v>0</v>
      </c>
      <c r="V6" s="663">
        <f>'3.2 营业收入汇总表'!V9</f>
        <v>0</v>
      </c>
      <c r="W6" s="663">
        <f>'3.2 营业收入汇总表'!W9</f>
        <v>0</v>
      </c>
      <c r="AC6" s="124"/>
      <c r="AD6" s="124"/>
      <c r="AE6" s="124"/>
      <c r="AF6" s="124"/>
      <c r="AG6" s="124"/>
      <c r="AH6" s="124"/>
    </row>
    <row r="7" spans="1:34">
      <c r="AC7" s="124"/>
      <c r="AD7" s="124"/>
      <c r="AE7" s="124"/>
      <c r="AF7" s="124"/>
      <c r="AG7" s="124"/>
      <c r="AH7" s="124"/>
    </row>
    <row r="8" spans="1:34" ht="15" customHeight="1">
      <c r="A8" s="469" t="s">
        <v>554</v>
      </c>
      <c r="B8" s="470"/>
      <c r="C8"/>
      <c r="AC8" s="124"/>
      <c r="AD8" s="124"/>
      <c r="AE8" s="124"/>
      <c r="AF8" s="124"/>
      <c r="AG8" s="124"/>
      <c r="AH8" s="124"/>
    </row>
    <row r="9" spans="1:34" ht="15" hidden="1" customHeight="1">
      <c r="B9" s="578" t="s">
        <v>651</v>
      </c>
      <c r="C9" s="578"/>
      <c r="D9" s="578"/>
      <c r="E9" s="576"/>
      <c r="F9" s="576"/>
      <c r="G9" s="576"/>
      <c r="AC9" s="124"/>
      <c r="AD9" s="124"/>
      <c r="AE9" s="124"/>
      <c r="AF9" s="124"/>
      <c r="AG9" s="124"/>
      <c r="AH9" s="124"/>
    </row>
    <row r="10" spans="1:34" ht="15" hidden="1" customHeight="1">
      <c r="B10" s="580" t="s">
        <v>652</v>
      </c>
      <c r="C10" s="592" t="s">
        <v>653</v>
      </c>
      <c r="D10" s="580" t="s">
        <v>654</v>
      </c>
      <c r="E10" s="576"/>
      <c r="F10" s="576"/>
      <c r="G10" s="576"/>
    </row>
    <row r="11" spans="1:34" ht="15" hidden="1" customHeight="1">
      <c r="B11" s="602" t="s">
        <v>655</v>
      </c>
      <c r="C11" s="582">
        <v>23384.400000000001</v>
      </c>
      <c r="D11" s="603" t="s">
        <v>656</v>
      </c>
      <c r="E11" s="576"/>
      <c r="F11" s="576"/>
      <c r="G11" s="576"/>
    </row>
    <row r="12" spans="1:34" ht="15" hidden="1" customHeight="1">
      <c r="B12" s="602" t="s">
        <v>657</v>
      </c>
      <c r="C12" s="582">
        <v>134746.85</v>
      </c>
      <c r="D12" s="604"/>
      <c r="E12" s="576"/>
      <c r="F12" s="576"/>
      <c r="G12" s="576"/>
    </row>
    <row r="13" spans="1:34" ht="30" hidden="1">
      <c r="A13" s="576"/>
      <c r="B13" s="602" t="s">
        <v>658</v>
      </c>
      <c r="C13" s="582">
        <v>104467.85</v>
      </c>
      <c r="D13" s="604"/>
      <c r="E13" s="576"/>
      <c r="F13" s="576"/>
      <c r="G13" s="576"/>
    </row>
    <row r="14" spans="1:34" ht="15" hidden="1">
      <c r="A14" s="576"/>
      <c r="B14" s="602" t="s">
        <v>659</v>
      </c>
      <c r="C14" s="582">
        <v>86949.32</v>
      </c>
      <c r="D14" s="604"/>
      <c r="E14" s="576"/>
      <c r="F14" s="576"/>
      <c r="G14" s="576"/>
    </row>
    <row r="15" spans="1:34" ht="15" hidden="1">
      <c r="A15" s="576"/>
      <c r="B15" s="602" t="s">
        <v>660</v>
      </c>
      <c r="C15" s="582">
        <v>16178.53</v>
      </c>
      <c r="D15" s="604"/>
      <c r="E15" s="576"/>
      <c r="F15" s="576"/>
      <c r="G15" s="576"/>
    </row>
    <row r="16" spans="1:34" ht="30" hidden="1">
      <c r="A16" s="576"/>
      <c r="B16" s="602" t="s">
        <v>661</v>
      </c>
      <c r="C16" s="582">
        <v>30279</v>
      </c>
      <c r="D16" s="604"/>
      <c r="E16" s="576"/>
      <c r="F16" s="576"/>
      <c r="G16" s="576"/>
    </row>
    <row r="17" spans="1:7" ht="15" hidden="1">
      <c r="A17" s="576"/>
      <c r="B17" s="603" t="s">
        <v>662</v>
      </c>
      <c r="C17" s="582">
        <v>796</v>
      </c>
      <c r="D17" s="602"/>
      <c r="E17" s="576"/>
      <c r="F17" s="576"/>
      <c r="G17" s="576"/>
    </row>
    <row r="18" spans="1:7" ht="15" hidden="1">
      <c r="A18" s="576"/>
      <c r="B18" s="580" t="s">
        <v>663</v>
      </c>
      <c r="C18" s="592" t="s">
        <v>664</v>
      </c>
      <c r="D18" s="580" t="s">
        <v>654</v>
      </c>
      <c r="E18" s="576"/>
      <c r="F18" s="576"/>
      <c r="G18" s="576"/>
    </row>
    <row r="19" spans="1:7" ht="15" hidden="1">
      <c r="A19" s="576"/>
      <c r="B19" s="603" t="s">
        <v>665</v>
      </c>
      <c r="C19" s="582">
        <v>736</v>
      </c>
      <c r="D19" s="603" t="s">
        <v>666</v>
      </c>
      <c r="E19" s="576"/>
      <c r="F19" s="576"/>
      <c r="G19" s="576"/>
    </row>
    <row r="20" spans="1:7" ht="15" hidden="1">
      <c r="A20" s="576"/>
      <c r="B20" s="602" t="s">
        <v>660</v>
      </c>
      <c r="C20" s="582">
        <v>6178.53</v>
      </c>
      <c r="D20" s="603" t="s">
        <v>667</v>
      </c>
      <c r="E20" s="576"/>
      <c r="F20" s="576"/>
      <c r="G20" s="576"/>
    </row>
    <row r="21" spans="1:7" ht="15" hidden="1">
      <c r="A21" s="576"/>
      <c r="B21" s="603" t="s">
        <v>668</v>
      </c>
      <c r="C21" s="582">
        <v>86949.32</v>
      </c>
      <c r="D21" s="602"/>
      <c r="E21" s="576"/>
      <c r="F21" s="576"/>
      <c r="G21" s="576"/>
    </row>
    <row r="22" spans="1:7" ht="15" hidden="1">
      <c r="A22" s="576"/>
      <c r="B22" s="576"/>
      <c r="C22" s="576"/>
      <c r="D22" s="576"/>
      <c r="E22" s="576"/>
      <c r="F22" s="576"/>
      <c r="G22" s="576"/>
    </row>
    <row r="23" spans="1:7" ht="15" hidden="1">
      <c r="A23" s="576"/>
      <c r="B23" s="576"/>
      <c r="C23" s="576"/>
      <c r="D23" s="576"/>
      <c r="E23" s="576"/>
      <c r="F23" s="576"/>
      <c r="G23" s="576"/>
    </row>
    <row r="24" spans="1:7" ht="15" hidden="1">
      <c r="A24" s="576"/>
      <c r="B24" s="578" t="s">
        <v>669</v>
      </c>
      <c r="C24" s="578"/>
      <c r="D24" s="578"/>
      <c r="E24" s="578"/>
      <c r="F24" s="578"/>
      <c r="G24" s="578"/>
    </row>
    <row r="25" spans="1:7" ht="15" hidden="1">
      <c r="A25" s="576"/>
      <c r="B25" s="580" t="s">
        <v>670</v>
      </c>
      <c r="C25" s="580" t="s">
        <v>671</v>
      </c>
      <c r="D25" s="580" t="s">
        <v>672</v>
      </c>
      <c r="E25" s="580" t="s">
        <v>663</v>
      </c>
      <c r="F25" s="580" t="s">
        <v>673</v>
      </c>
      <c r="G25" s="580" t="s">
        <v>633</v>
      </c>
    </row>
    <row r="26" spans="1:7" ht="15" hidden="1">
      <c r="A26" s="576"/>
      <c r="B26" s="604" t="s">
        <v>665</v>
      </c>
      <c r="C26" s="582">
        <v>796</v>
      </c>
      <c r="D26" s="605">
        <v>60</v>
      </c>
      <c r="E26" s="582">
        <v>736</v>
      </c>
      <c r="F26" s="582">
        <v>120000</v>
      </c>
      <c r="G26" s="582">
        <f>E26*F26</f>
        <v>88320000</v>
      </c>
    </row>
    <row r="27" spans="1:7" ht="15" hidden="1">
      <c r="A27" s="576"/>
      <c r="B27" s="604" t="s">
        <v>660</v>
      </c>
      <c r="C27" s="582">
        <v>16178.53</v>
      </c>
      <c r="D27" s="605">
        <v>10000</v>
      </c>
      <c r="E27" s="582">
        <v>6178.53</v>
      </c>
      <c r="F27" s="593">
        <v>20000</v>
      </c>
      <c r="G27" s="582">
        <f t="shared" ref="G27:G28" si="2">E27*F27</f>
        <v>123570600</v>
      </c>
    </row>
    <row r="28" spans="1:7" ht="15" hidden="1">
      <c r="A28" s="576"/>
      <c r="B28" s="604" t="s">
        <v>668</v>
      </c>
      <c r="C28" s="582">
        <v>86949.32</v>
      </c>
      <c r="D28" s="582">
        <v>0</v>
      </c>
      <c r="E28" s="582">
        <v>86949.32</v>
      </c>
      <c r="F28" s="593">
        <v>13000</v>
      </c>
      <c r="G28" s="582">
        <f t="shared" si="2"/>
        <v>1130341160</v>
      </c>
    </row>
    <row r="29" spans="1:7" ht="15" hidden="1">
      <c r="A29" s="576"/>
      <c r="B29" s="580" t="s">
        <v>132</v>
      </c>
      <c r="C29" s="583"/>
      <c r="D29" s="583"/>
      <c r="E29" s="583"/>
      <c r="F29" s="583"/>
      <c r="G29" s="592">
        <f>SUM(G26:G28)</f>
        <v>1342231760</v>
      </c>
    </row>
    <row r="30" spans="1:7" ht="15" hidden="1">
      <c r="A30" s="576"/>
      <c r="B30" s="576"/>
      <c r="C30" s="576"/>
      <c r="D30" s="576"/>
      <c r="E30" s="576"/>
      <c r="F30" s="576"/>
      <c r="G30" s="577"/>
    </row>
    <row r="31" spans="1:7" ht="15" hidden="1">
      <c r="A31" s="576"/>
      <c r="B31" s="576"/>
      <c r="C31" s="576"/>
      <c r="D31" s="576"/>
      <c r="E31" s="576"/>
      <c r="F31" s="576"/>
      <c r="G31" s="577"/>
    </row>
    <row r="32" spans="1:7" ht="15" hidden="1">
      <c r="A32" s="576"/>
      <c r="B32" s="578" t="s">
        <v>591</v>
      </c>
      <c r="C32" s="578"/>
      <c r="D32" s="578"/>
      <c r="E32" s="578"/>
      <c r="F32" s="578"/>
      <c r="G32" s="576"/>
    </row>
    <row r="33" spans="1:7" ht="15" hidden="1">
      <c r="A33" s="576"/>
      <c r="B33" s="579" t="s">
        <v>592</v>
      </c>
      <c r="C33" s="579" t="s">
        <v>593</v>
      </c>
      <c r="D33" s="580" t="s">
        <v>594</v>
      </c>
      <c r="E33" s="579" t="s">
        <v>595</v>
      </c>
      <c r="F33" s="579" t="s">
        <v>596</v>
      </c>
      <c r="G33" s="576"/>
    </row>
    <row r="34" spans="1:7" ht="15" hidden="1">
      <c r="A34" s="576"/>
      <c r="B34" s="581" t="s">
        <v>597</v>
      </c>
      <c r="C34" s="582">
        <v>104467.85</v>
      </c>
      <c r="D34" s="583">
        <f>E34/C34</f>
        <v>5727.4094374489378</v>
      </c>
      <c r="E34" s="581">
        <f>SUM(E35:E38)</f>
        <v>598330150</v>
      </c>
      <c r="F34" s="583" t="s">
        <v>598</v>
      </c>
      <c r="G34" s="576"/>
    </row>
    <row r="35" spans="1:7" ht="15" hidden="1">
      <c r="A35" s="576"/>
      <c r="B35" s="584" t="s">
        <v>599</v>
      </c>
      <c r="C35" s="582"/>
      <c r="D35" s="582"/>
      <c r="E35" s="582">
        <v>527700000</v>
      </c>
      <c r="F35" s="585" t="s">
        <v>600</v>
      </c>
      <c r="G35" s="576"/>
    </row>
    <row r="36" spans="1:7" ht="15" hidden="1">
      <c r="A36" s="576"/>
      <c r="B36" s="584" t="s">
        <v>601</v>
      </c>
      <c r="C36" s="582"/>
      <c r="D36" s="582"/>
      <c r="E36" s="582">
        <f>E35*0.04</f>
        <v>21108000</v>
      </c>
      <c r="F36" s="585" t="s">
        <v>602</v>
      </c>
      <c r="G36" s="586" t="s">
        <v>603</v>
      </c>
    </row>
    <row r="37" spans="1:7" ht="15" hidden="1">
      <c r="A37" s="576"/>
      <c r="B37" s="584" t="s">
        <v>604</v>
      </c>
      <c r="C37" s="582"/>
      <c r="D37" s="582"/>
      <c r="E37" s="582">
        <f>E35*0.0005</f>
        <v>263850</v>
      </c>
      <c r="F37" s="585" t="s">
        <v>605</v>
      </c>
      <c r="G37" s="576"/>
    </row>
    <row r="38" spans="1:7" ht="15" hidden="1">
      <c r="A38" s="576"/>
      <c r="B38" s="584" t="s">
        <v>606</v>
      </c>
      <c r="C38" s="582"/>
      <c r="D38" s="582"/>
      <c r="E38" s="582">
        <v>49258300</v>
      </c>
      <c r="F38" s="585"/>
      <c r="G38" s="576"/>
    </row>
    <row r="39" spans="1:7" ht="15" hidden="1">
      <c r="A39" s="576"/>
      <c r="B39" s="581" t="s">
        <v>607</v>
      </c>
      <c r="C39" s="583"/>
      <c r="D39" s="583"/>
      <c r="E39" s="587">
        <v>31192548.309999999</v>
      </c>
      <c r="F39" s="583" t="s">
        <v>608</v>
      </c>
      <c r="G39" s="586" t="s">
        <v>609</v>
      </c>
    </row>
    <row r="40" spans="1:7" ht="15" hidden="1">
      <c r="A40" s="576"/>
      <c r="B40" s="581" t="s">
        <v>610</v>
      </c>
      <c r="C40" s="583"/>
      <c r="D40" s="583"/>
      <c r="E40" s="583">
        <v>28497611.309999999</v>
      </c>
      <c r="F40" s="585"/>
      <c r="G40" s="576"/>
    </row>
    <row r="41" spans="1:7" ht="15" hidden="1">
      <c r="A41" s="576"/>
      <c r="B41" s="584" t="s">
        <v>611</v>
      </c>
      <c r="C41" s="582"/>
      <c r="D41" s="582"/>
      <c r="E41" s="582">
        <v>2694937</v>
      </c>
      <c r="F41" s="585" t="s">
        <v>612</v>
      </c>
      <c r="G41" s="576"/>
    </row>
    <row r="42" spans="1:7" ht="15" hidden="1">
      <c r="A42" s="576"/>
      <c r="B42" s="584" t="s">
        <v>613</v>
      </c>
      <c r="C42" s="583">
        <v>134746.85</v>
      </c>
      <c r="D42" s="583">
        <v>3000</v>
      </c>
      <c r="E42" s="587">
        <f>C42*D42</f>
        <v>404240550</v>
      </c>
      <c r="F42" s="585"/>
      <c r="G42" s="586" t="s">
        <v>614</v>
      </c>
    </row>
    <row r="43" spans="1:7" ht="15" hidden="1">
      <c r="A43" s="576"/>
      <c r="B43" s="588"/>
      <c r="C43" s="583"/>
      <c r="D43" s="583"/>
      <c r="E43" s="583"/>
      <c r="F43" s="585"/>
      <c r="G43" s="576"/>
    </row>
    <row r="44" spans="1:7" ht="15" hidden="1">
      <c r="A44" s="576"/>
      <c r="B44" s="588"/>
      <c r="C44" s="583"/>
      <c r="D44" s="583"/>
      <c r="E44" s="583"/>
      <c r="F44" s="585"/>
      <c r="G44" s="576"/>
    </row>
    <row r="45" spans="1:7" ht="15" hidden="1">
      <c r="A45" s="576"/>
      <c r="B45" s="588"/>
      <c r="C45" s="583"/>
      <c r="D45" s="583"/>
      <c r="E45" s="583"/>
      <c r="F45" s="585"/>
      <c r="G45" s="576"/>
    </row>
    <row r="46" spans="1:7" ht="15" hidden="1">
      <c r="A46" s="576"/>
      <c r="B46" s="584" t="s">
        <v>615</v>
      </c>
      <c r="C46" s="582"/>
      <c r="D46" s="589">
        <v>5.0000000000000001E-3</v>
      </c>
      <c r="E46" s="590">
        <f>G10*0.005</f>
        <v>0</v>
      </c>
      <c r="F46" s="585" t="s">
        <v>616</v>
      </c>
      <c r="G46" s="576"/>
    </row>
    <row r="47" spans="1:7" ht="15" hidden="1">
      <c r="A47" s="576"/>
      <c r="B47" s="588" t="s">
        <v>617</v>
      </c>
      <c r="C47" s="582"/>
      <c r="D47" s="589"/>
      <c r="E47" s="582"/>
      <c r="F47" s="585"/>
      <c r="G47" s="586" t="s">
        <v>614</v>
      </c>
    </row>
    <row r="48" spans="1:7" ht="15" hidden="1">
      <c r="A48" s="576"/>
      <c r="B48" s="588" t="s">
        <v>618</v>
      </c>
      <c r="C48" s="582"/>
      <c r="D48" s="589"/>
      <c r="E48" s="582"/>
      <c r="F48" s="585"/>
      <c r="G48" s="576"/>
    </row>
    <row r="49" spans="1:7" ht="15" hidden="1">
      <c r="A49" s="576"/>
      <c r="B49" s="584" t="s">
        <v>619</v>
      </c>
      <c r="C49" s="582"/>
      <c r="D49" s="591"/>
      <c r="E49" s="592">
        <f>SUM(E50:E53)</f>
        <v>121500000</v>
      </c>
      <c r="F49" s="585"/>
      <c r="G49" s="576"/>
    </row>
    <row r="50" spans="1:7" ht="15" hidden="1">
      <c r="A50" s="576"/>
      <c r="B50" s="584" t="s">
        <v>620</v>
      </c>
      <c r="C50" s="593">
        <v>400000000</v>
      </c>
      <c r="D50" s="591">
        <v>0.15</v>
      </c>
      <c r="E50" s="582">
        <f>C50*D50*1.5</f>
        <v>90000000</v>
      </c>
      <c r="F50" s="585" t="s">
        <v>621</v>
      </c>
      <c r="G50" s="576"/>
    </row>
    <row r="51" spans="1:7" ht="15" hidden="1">
      <c r="A51" s="576"/>
      <c r="B51" s="584" t="s">
        <v>622</v>
      </c>
      <c r="C51" s="593">
        <v>150000000</v>
      </c>
      <c r="D51" s="591"/>
      <c r="E51" s="582"/>
      <c r="F51" s="585" t="s">
        <v>623</v>
      </c>
      <c r="G51" s="576"/>
    </row>
    <row r="52" spans="1:7" ht="15" hidden="1">
      <c r="A52" s="576"/>
      <c r="B52" s="584" t="s">
        <v>624</v>
      </c>
      <c r="C52" s="582">
        <v>150000000</v>
      </c>
      <c r="D52" s="591">
        <v>7.0000000000000007E-2</v>
      </c>
      <c r="E52" s="582">
        <f>C52*D52*3</f>
        <v>31500000.000000007</v>
      </c>
      <c r="F52" s="585"/>
      <c r="G52" s="576"/>
    </row>
    <row r="53" spans="1:7" ht="15" hidden="1">
      <c r="A53" s="576"/>
      <c r="B53" s="584" t="s">
        <v>625</v>
      </c>
      <c r="C53" s="582"/>
      <c r="D53" s="591"/>
      <c r="E53" s="582"/>
      <c r="F53" s="585"/>
      <c r="G53" s="576"/>
    </row>
    <row r="54" spans="1:7" ht="15" hidden="1">
      <c r="A54" s="576"/>
      <c r="B54" s="584" t="s">
        <v>626</v>
      </c>
      <c r="C54" s="582"/>
      <c r="D54" s="594">
        <v>3.5000000000000003E-2</v>
      </c>
      <c r="E54" s="592">
        <f>G10*D54</f>
        <v>0</v>
      </c>
      <c r="F54" s="585" t="s">
        <v>627</v>
      </c>
      <c r="G54" s="576"/>
    </row>
    <row r="55" spans="1:7" ht="15" hidden="1">
      <c r="A55" s="576"/>
      <c r="B55" s="584" t="s">
        <v>628</v>
      </c>
      <c r="C55" s="582"/>
      <c r="D55" s="594">
        <v>1.4999999999999999E-2</v>
      </c>
      <c r="E55" s="592">
        <f>G10*D55</f>
        <v>0</v>
      </c>
      <c r="F55" s="585"/>
      <c r="G55" s="576"/>
    </row>
    <row r="56" spans="1:7" ht="15" hidden="1">
      <c r="A56" s="576"/>
      <c r="B56" s="584" t="s">
        <v>629</v>
      </c>
      <c r="C56" s="582"/>
      <c r="D56" s="591">
        <v>0.1</v>
      </c>
      <c r="E56" s="590">
        <f>G10*0.1</f>
        <v>0</v>
      </c>
      <c r="F56" s="585" t="s">
        <v>630</v>
      </c>
      <c r="G56" s="586" t="s">
        <v>603</v>
      </c>
    </row>
    <row r="57" spans="1:7" ht="15" hidden="1">
      <c r="A57" s="576"/>
      <c r="B57" s="588"/>
      <c r="C57" s="582"/>
      <c r="D57" s="591"/>
      <c r="E57" s="595"/>
      <c r="F57" s="585"/>
      <c r="G57" s="576"/>
    </row>
    <row r="58" spans="1:7" ht="15" hidden="1">
      <c r="A58" s="576"/>
      <c r="B58" s="588"/>
      <c r="C58" s="582"/>
      <c r="D58" s="591"/>
      <c r="E58" s="595"/>
      <c r="F58" s="585"/>
      <c r="G58" s="576"/>
    </row>
    <row r="59" spans="1:7" ht="15" hidden="1">
      <c r="A59" s="576"/>
      <c r="B59" s="588"/>
      <c r="C59" s="582"/>
      <c r="D59" s="591"/>
      <c r="E59" s="595"/>
      <c r="F59" s="585"/>
      <c r="G59" s="576"/>
    </row>
    <row r="60" spans="1:7" ht="15" hidden="1">
      <c r="A60" s="576"/>
      <c r="B60" s="588"/>
      <c r="C60" s="582"/>
      <c r="D60" s="591"/>
      <c r="E60" s="595"/>
      <c r="F60" s="585"/>
      <c r="G60" s="576"/>
    </row>
    <row r="61" spans="1:7" ht="15" hidden="1">
      <c r="A61" s="576"/>
      <c r="B61" s="592" t="s">
        <v>132</v>
      </c>
      <c r="C61" s="592"/>
      <c r="D61" s="592"/>
      <c r="E61" s="592">
        <f>SUM(E34,E39,E42,E46,E49,E54,E55,E56)</f>
        <v>1155263248.3099999</v>
      </c>
      <c r="F61" s="582"/>
      <c r="G61" s="576"/>
    </row>
    <row r="62" spans="1:7" ht="15" hidden="1">
      <c r="A62" s="576"/>
      <c r="B62" s="576"/>
      <c r="C62" s="576"/>
      <c r="D62" s="576"/>
      <c r="E62" s="576"/>
      <c r="F62" s="576"/>
      <c r="G62" s="576"/>
    </row>
    <row r="63" spans="1:7" ht="15" hidden="1">
      <c r="A63" s="576"/>
      <c r="B63" s="576"/>
      <c r="C63" s="576"/>
      <c r="D63" s="576"/>
      <c r="E63" s="576"/>
      <c r="F63" s="576"/>
      <c r="G63" s="576"/>
    </row>
    <row r="64" spans="1:7" ht="15" hidden="1">
      <c r="A64" s="576"/>
      <c r="B64" s="578" t="s">
        <v>631</v>
      </c>
      <c r="C64" s="596" t="s">
        <v>632</v>
      </c>
      <c r="D64" s="576"/>
      <c r="E64" s="576"/>
      <c r="F64" s="576"/>
      <c r="G64" s="576"/>
    </row>
    <row r="65" spans="1:7" ht="15" hidden="1">
      <c r="A65" s="576"/>
      <c r="B65" s="597" t="s">
        <v>633</v>
      </c>
      <c r="C65" s="598">
        <f>G10</f>
        <v>0</v>
      </c>
      <c r="D65" s="576"/>
      <c r="E65" s="576"/>
      <c r="F65" s="576">
        <v>5.5</v>
      </c>
      <c r="G65" s="576"/>
    </row>
    <row r="66" spans="1:7" ht="15" hidden="1">
      <c r="A66" s="576"/>
      <c r="B66" s="597" t="s">
        <v>634</v>
      </c>
      <c r="C66" s="599">
        <v>40000000</v>
      </c>
      <c r="D66" s="576"/>
      <c r="E66" s="576"/>
      <c r="F66" s="576"/>
      <c r="G66" s="576"/>
    </row>
    <row r="67" spans="1:7" ht="15" hidden="1">
      <c r="A67" s="576"/>
      <c r="B67" s="597" t="s">
        <v>635</v>
      </c>
      <c r="C67" s="598">
        <f>E61</f>
        <v>1155263248.3099999</v>
      </c>
      <c r="D67" s="576"/>
      <c r="E67" s="576"/>
      <c r="F67" s="576"/>
      <c r="G67" s="576"/>
    </row>
    <row r="68" spans="1:7" ht="15" hidden="1">
      <c r="A68" s="576"/>
      <c r="B68" s="600" t="s">
        <v>636</v>
      </c>
      <c r="C68" s="601">
        <f>C65-C66-C67</f>
        <v>-1195263248.3099999</v>
      </c>
      <c r="D68" s="576"/>
      <c r="E68" s="576"/>
      <c r="F68" s="576"/>
      <c r="G68" s="576"/>
    </row>
    <row r="69" spans="1:7" ht="15" hidden="1">
      <c r="A69" s="576"/>
      <c r="B69" s="597" t="s">
        <v>637</v>
      </c>
      <c r="C69" s="598">
        <f>E35*0.8</f>
        <v>422160000</v>
      </c>
      <c r="D69" s="576"/>
      <c r="E69" s="576"/>
      <c r="F69" s="576"/>
      <c r="G69" s="576"/>
    </row>
    <row r="70" spans="1:7" ht="15" hidden="1">
      <c r="A70" s="576"/>
      <c r="B70" s="597" t="s">
        <v>638</v>
      </c>
      <c r="C70" s="599">
        <v>100000000</v>
      </c>
      <c r="D70" s="576"/>
      <c r="E70" s="576"/>
      <c r="F70" s="576"/>
      <c r="G70" s="576"/>
    </row>
    <row r="71" spans="1:7" ht="15" hidden="1">
      <c r="A71" s="576"/>
      <c r="B71" s="600" t="s">
        <v>639</v>
      </c>
      <c r="C71" s="601">
        <f>C69-C70</f>
        <v>322160000</v>
      </c>
      <c r="D71" s="576"/>
      <c r="E71" s="576"/>
      <c r="F71" s="576"/>
      <c r="G71" s="576"/>
    </row>
    <row r="72" spans="1:7" ht="15" hidden="1">
      <c r="A72" s="576"/>
      <c r="B72" s="600" t="s">
        <v>640</v>
      </c>
      <c r="C72" s="601">
        <f>C68+C71</f>
        <v>-873103248.30999994</v>
      </c>
      <c r="D72" s="576"/>
      <c r="E72" s="576"/>
      <c r="F72" s="576"/>
      <c r="G72" s="576"/>
    </row>
  </sheetData>
  <phoneticPr fontId="27" type="noConversion"/>
  <hyperlinks>
    <hyperlink ref="A8" location="目录!A1" display="点击返回目录"/>
  </hyperlinks>
  <pageMargins left="0.75" right="0.75" top="1" bottom="1" header="0.5" footer="0.5"/>
  <pageSetup paperSize="9" scale="20"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K87"/>
  <sheetViews>
    <sheetView zoomScale="70" zoomScaleNormal="70" zoomScaleSheetLayoutView="80" workbookViewId="0">
      <pane xSplit="3" ySplit="3" topLeftCell="D41" activePane="bottomRight" state="frozen"/>
      <selection pane="topRight" activeCell="D1" sqref="D1"/>
      <selection pane="bottomLeft" activeCell="A4" sqref="A4"/>
      <selection pane="bottomRight" activeCell="I52" sqref="I52"/>
    </sheetView>
  </sheetViews>
  <sheetFormatPr defaultColWidth="8.90625" defaultRowHeight="14" outlineLevelCol="1"/>
  <cols>
    <col min="1" max="1" width="1.90625" style="120" customWidth="1"/>
    <col min="2" max="2" width="6.453125" style="121" customWidth="1"/>
    <col min="3" max="3" width="22.08984375" style="120" customWidth="1"/>
    <col min="4" max="4" width="10.6328125" style="120" customWidth="1"/>
    <col min="5" max="5" width="12.26953125" style="120" hidden="1" customWidth="1" outlineLevel="1"/>
    <col min="6" max="6" width="12.6328125" style="120" customWidth="1" collapsed="1"/>
    <col min="7" max="26" width="10.6328125" style="120" customWidth="1"/>
    <col min="27" max="28" width="9.6328125" style="120" customWidth="1"/>
    <col min="29" max="247" width="8.90625" style="120"/>
    <col min="248" max="248" width="4.90625" style="120" customWidth="1"/>
    <col min="249" max="249" width="6.453125" style="120" customWidth="1"/>
    <col min="250" max="250" width="54.453125" style="120" customWidth="1"/>
    <col min="251" max="251" width="22.08984375" style="120" customWidth="1"/>
    <col min="252" max="252" width="13.08984375" style="120" customWidth="1"/>
    <col min="253" max="253" width="13.453125" style="120" customWidth="1"/>
    <col min="254" max="254" width="5.453125" style="120" customWidth="1"/>
    <col min="255" max="255" width="6.453125" style="120" customWidth="1"/>
    <col min="256" max="257" width="8.90625" style="120" customWidth="1"/>
    <col min="258" max="273" width="10.6328125" style="120" customWidth="1"/>
    <col min="274" max="503" width="8.90625" style="120"/>
    <col min="504" max="504" width="4.90625" style="120" customWidth="1"/>
    <col min="505" max="505" width="6.453125" style="120" customWidth="1"/>
    <col min="506" max="506" width="54.453125" style="120" customWidth="1"/>
    <col min="507" max="507" width="22.08984375" style="120" customWidth="1"/>
    <col min="508" max="508" width="13.08984375" style="120" customWidth="1"/>
    <col min="509" max="509" width="13.453125" style="120" customWidth="1"/>
    <col min="510" max="510" width="5.453125" style="120" customWidth="1"/>
    <col min="511" max="511" width="6.453125" style="120" customWidth="1"/>
    <col min="512" max="513" width="8.90625" style="120" customWidth="1"/>
    <col min="514" max="529" width="10.6328125" style="120" customWidth="1"/>
    <col min="530" max="759" width="8.90625" style="120"/>
    <col min="760" max="760" width="4.90625" style="120" customWidth="1"/>
    <col min="761" max="761" width="6.453125" style="120" customWidth="1"/>
    <col min="762" max="762" width="54.453125" style="120" customWidth="1"/>
    <col min="763" max="763" width="22.08984375" style="120" customWidth="1"/>
    <col min="764" max="764" width="13.08984375" style="120" customWidth="1"/>
    <col min="765" max="765" width="13.453125" style="120" customWidth="1"/>
    <col min="766" max="766" width="5.453125" style="120" customWidth="1"/>
    <col min="767" max="767" width="6.453125" style="120" customWidth="1"/>
    <col min="768" max="769" width="8.90625" style="120" customWidth="1"/>
    <col min="770" max="785" width="10.6328125" style="120" customWidth="1"/>
    <col min="786" max="1015" width="8.90625" style="120"/>
    <col min="1016" max="1016" width="4.90625" style="120" customWidth="1"/>
    <col min="1017" max="1017" width="6.453125" style="120" customWidth="1"/>
    <col min="1018" max="1018" width="54.453125" style="120" customWidth="1"/>
    <col min="1019" max="1019" width="22.08984375" style="120" customWidth="1"/>
    <col min="1020" max="1020" width="13.08984375" style="120" customWidth="1"/>
    <col min="1021" max="1021" width="13.453125" style="120" customWidth="1"/>
    <col min="1022" max="1022" width="5.453125" style="120" customWidth="1"/>
    <col min="1023" max="1023" width="6.453125" style="120" customWidth="1"/>
    <col min="1024" max="1025" width="8.90625" style="120" customWidth="1"/>
    <col min="1026" max="1041" width="10.6328125" style="120" customWidth="1"/>
    <col min="1042" max="1271" width="8.90625" style="120"/>
    <col min="1272" max="1272" width="4.90625" style="120" customWidth="1"/>
    <col min="1273" max="1273" width="6.453125" style="120" customWidth="1"/>
    <col min="1274" max="1274" width="54.453125" style="120" customWidth="1"/>
    <col min="1275" max="1275" width="22.08984375" style="120" customWidth="1"/>
    <col min="1276" max="1276" width="13.08984375" style="120" customWidth="1"/>
    <col min="1277" max="1277" width="13.453125" style="120" customWidth="1"/>
    <col min="1278" max="1278" width="5.453125" style="120" customWidth="1"/>
    <col min="1279" max="1279" width="6.453125" style="120" customWidth="1"/>
    <col min="1280" max="1281" width="8.90625" style="120" customWidth="1"/>
    <col min="1282" max="1297" width="10.6328125" style="120" customWidth="1"/>
    <col min="1298" max="1527" width="8.90625" style="120"/>
    <col min="1528" max="1528" width="4.90625" style="120" customWidth="1"/>
    <col min="1529" max="1529" width="6.453125" style="120" customWidth="1"/>
    <col min="1530" max="1530" width="54.453125" style="120" customWidth="1"/>
    <col min="1531" max="1531" width="22.08984375" style="120" customWidth="1"/>
    <col min="1532" max="1532" width="13.08984375" style="120" customWidth="1"/>
    <col min="1533" max="1533" width="13.453125" style="120" customWidth="1"/>
    <col min="1534" max="1534" width="5.453125" style="120" customWidth="1"/>
    <col min="1535" max="1535" width="6.453125" style="120" customWidth="1"/>
    <col min="1536" max="1537" width="8.90625" style="120" customWidth="1"/>
    <col min="1538" max="1553" width="10.6328125" style="120" customWidth="1"/>
    <col min="1554" max="1783" width="8.90625" style="120"/>
    <col min="1784" max="1784" width="4.90625" style="120" customWidth="1"/>
    <col min="1785" max="1785" width="6.453125" style="120" customWidth="1"/>
    <col min="1786" max="1786" width="54.453125" style="120" customWidth="1"/>
    <col min="1787" max="1787" width="22.08984375" style="120" customWidth="1"/>
    <col min="1788" max="1788" width="13.08984375" style="120" customWidth="1"/>
    <col min="1789" max="1789" width="13.453125" style="120" customWidth="1"/>
    <col min="1790" max="1790" width="5.453125" style="120" customWidth="1"/>
    <col min="1791" max="1791" width="6.453125" style="120" customWidth="1"/>
    <col min="1792" max="1793" width="8.90625" style="120" customWidth="1"/>
    <col min="1794" max="1809" width="10.6328125" style="120" customWidth="1"/>
    <col min="1810" max="2039" width="8.90625" style="120"/>
    <col min="2040" max="2040" width="4.90625" style="120" customWidth="1"/>
    <col min="2041" max="2041" width="6.453125" style="120" customWidth="1"/>
    <col min="2042" max="2042" width="54.453125" style="120" customWidth="1"/>
    <col min="2043" max="2043" width="22.08984375" style="120" customWidth="1"/>
    <col min="2044" max="2044" width="13.08984375" style="120" customWidth="1"/>
    <col min="2045" max="2045" width="13.453125" style="120" customWidth="1"/>
    <col min="2046" max="2046" width="5.453125" style="120" customWidth="1"/>
    <col min="2047" max="2047" width="6.453125" style="120" customWidth="1"/>
    <col min="2048" max="2049" width="8.90625" style="120" customWidth="1"/>
    <col min="2050" max="2065" width="10.6328125" style="120" customWidth="1"/>
    <col min="2066" max="2295" width="8.90625" style="120"/>
    <col min="2296" max="2296" width="4.90625" style="120" customWidth="1"/>
    <col min="2297" max="2297" width="6.453125" style="120" customWidth="1"/>
    <col min="2298" max="2298" width="54.453125" style="120" customWidth="1"/>
    <col min="2299" max="2299" width="22.08984375" style="120" customWidth="1"/>
    <col min="2300" max="2300" width="13.08984375" style="120" customWidth="1"/>
    <col min="2301" max="2301" width="13.453125" style="120" customWidth="1"/>
    <col min="2302" max="2302" width="5.453125" style="120" customWidth="1"/>
    <col min="2303" max="2303" width="6.453125" style="120" customWidth="1"/>
    <col min="2304" max="2305" width="8.90625" style="120" customWidth="1"/>
    <col min="2306" max="2321" width="10.6328125" style="120" customWidth="1"/>
    <col min="2322" max="2551" width="8.90625" style="120"/>
    <col min="2552" max="2552" width="4.90625" style="120" customWidth="1"/>
    <col min="2553" max="2553" width="6.453125" style="120" customWidth="1"/>
    <col min="2554" max="2554" width="54.453125" style="120" customWidth="1"/>
    <col min="2555" max="2555" width="22.08984375" style="120" customWidth="1"/>
    <col min="2556" max="2556" width="13.08984375" style="120" customWidth="1"/>
    <col min="2557" max="2557" width="13.453125" style="120" customWidth="1"/>
    <col min="2558" max="2558" width="5.453125" style="120" customWidth="1"/>
    <col min="2559" max="2559" width="6.453125" style="120" customWidth="1"/>
    <col min="2560" max="2561" width="8.90625" style="120" customWidth="1"/>
    <col min="2562" max="2577" width="10.6328125" style="120" customWidth="1"/>
    <col min="2578" max="2807" width="8.90625" style="120"/>
    <col min="2808" max="2808" width="4.90625" style="120" customWidth="1"/>
    <col min="2809" max="2809" width="6.453125" style="120" customWidth="1"/>
    <col min="2810" max="2810" width="54.453125" style="120" customWidth="1"/>
    <col min="2811" max="2811" width="22.08984375" style="120" customWidth="1"/>
    <col min="2812" max="2812" width="13.08984375" style="120" customWidth="1"/>
    <col min="2813" max="2813" width="13.453125" style="120" customWidth="1"/>
    <col min="2814" max="2814" width="5.453125" style="120" customWidth="1"/>
    <col min="2815" max="2815" width="6.453125" style="120" customWidth="1"/>
    <col min="2816" max="2817" width="8.90625" style="120" customWidth="1"/>
    <col min="2818" max="2833" width="10.6328125" style="120" customWidth="1"/>
    <col min="2834" max="3063" width="8.90625" style="120"/>
    <col min="3064" max="3064" width="4.90625" style="120" customWidth="1"/>
    <col min="3065" max="3065" width="6.453125" style="120" customWidth="1"/>
    <col min="3066" max="3066" width="54.453125" style="120" customWidth="1"/>
    <col min="3067" max="3067" width="22.08984375" style="120" customWidth="1"/>
    <col min="3068" max="3068" width="13.08984375" style="120" customWidth="1"/>
    <col min="3069" max="3069" width="13.453125" style="120" customWidth="1"/>
    <col min="3070" max="3070" width="5.453125" style="120" customWidth="1"/>
    <col min="3071" max="3071" width="6.453125" style="120" customWidth="1"/>
    <col min="3072" max="3073" width="8.90625" style="120" customWidth="1"/>
    <col min="3074" max="3089" width="10.6328125" style="120" customWidth="1"/>
    <col min="3090" max="3319" width="8.90625" style="120"/>
    <col min="3320" max="3320" width="4.90625" style="120" customWidth="1"/>
    <col min="3321" max="3321" width="6.453125" style="120" customWidth="1"/>
    <col min="3322" max="3322" width="54.453125" style="120" customWidth="1"/>
    <col min="3323" max="3323" width="22.08984375" style="120" customWidth="1"/>
    <col min="3324" max="3324" width="13.08984375" style="120" customWidth="1"/>
    <col min="3325" max="3325" width="13.453125" style="120" customWidth="1"/>
    <col min="3326" max="3326" width="5.453125" style="120" customWidth="1"/>
    <col min="3327" max="3327" width="6.453125" style="120" customWidth="1"/>
    <col min="3328" max="3329" width="8.90625" style="120" customWidth="1"/>
    <col min="3330" max="3345" width="10.6328125" style="120" customWidth="1"/>
    <col min="3346" max="3575" width="8.90625" style="120"/>
    <col min="3576" max="3576" width="4.90625" style="120" customWidth="1"/>
    <col min="3577" max="3577" width="6.453125" style="120" customWidth="1"/>
    <col min="3578" max="3578" width="54.453125" style="120" customWidth="1"/>
    <col min="3579" max="3579" width="22.08984375" style="120" customWidth="1"/>
    <col min="3580" max="3580" width="13.08984375" style="120" customWidth="1"/>
    <col min="3581" max="3581" width="13.453125" style="120" customWidth="1"/>
    <col min="3582" max="3582" width="5.453125" style="120" customWidth="1"/>
    <col min="3583" max="3583" width="6.453125" style="120" customWidth="1"/>
    <col min="3584" max="3585" width="8.90625" style="120" customWidth="1"/>
    <col min="3586" max="3601" width="10.6328125" style="120" customWidth="1"/>
    <col min="3602" max="3831" width="8.90625" style="120"/>
    <col min="3832" max="3832" width="4.90625" style="120" customWidth="1"/>
    <col min="3833" max="3833" width="6.453125" style="120" customWidth="1"/>
    <col min="3834" max="3834" width="54.453125" style="120" customWidth="1"/>
    <col min="3835" max="3835" width="22.08984375" style="120" customWidth="1"/>
    <col min="3836" max="3836" width="13.08984375" style="120" customWidth="1"/>
    <col min="3837" max="3837" width="13.453125" style="120" customWidth="1"/>
    <col min="3838" max="3838" width="5.453125" style="120" customWidth="1"/>
    <col min="3839" max="3839" width="6.453125" style="120" customWidth="1"/>
    <col min="3840" max="3841" width="8.90625" style="120" customWidth="1"/>
    <col min="3842" max="3857" width="10.6328125" style="120" customWidth="1"/>
    <col min="3858" max="4087" width="8.90625" style="120"/>
    <col min="4088" max="4088" width="4.90625" style="120" customWidth="1"/>
    <col min="4089" max="4089" width="6.453125" style="120" customWidth="1"/>
    <col min="4090" max="4090" width="54.453125" style="120" customWidth="1"/>
    <col min="4091" max="4091" width="22.08984375" style="120" customWidth="1"/>
    <col min="4092" max="4092" width="13.08984375" style="120" customWidth="1"/>
    <col min="4093" max="4093" width="13.453125" style="120" customWidth="1"/>
    <col min="4094" max="4094" width="5.453125" style="120" customWidth="1"/>
    <col min="4095" max="4095" width="6.453125" style="120" customWidth="1"/>
    <col min="4096" max="4097" width="8.90625" style="120" customWidth="1"/>
    <col min="4098" max="4113" width="10.6328125" style="120" customWidth="1"/>
    <col min="4114" max="4343" width="8.90625" style="120"/>
    <col min="4344" max="4344" width="4.90625" style="120" customWidth="1"/>
    <col min="4345" max="4345" width="6.453125" style="120" customWidth="1"/>
    <col min="4346" max="4346" width="54.453125" style="120" customWidth="1"/>
    <col min="4347" max="4347" width="22.08984375" style="120" customWidth="1"/>
    <col min="4348" max="4348" width="13.08984375" style="120" customWidth="1"/>
    <col min="4349" max="4349" width="13.453125" style="120" customWidth="1"/>
    <col min="4350" max="4350" width="5.453125" style="120" customWidth="1"/>
    <col min="4351" max="4351" width="6.453125" style="120" customWidth="1"/>
    <col min="4352" max="4353" width="8.90625" style="120" customWidth="1"/>
    <col min="4354" max="4369" width="10.6328125" style="120" customWidth="1"/>
    <col min="4370" max="4599" width="8.90625" style="120"/>
    <col min="4600" max="4600" width="4.90625" style="120" customWidth="1"/>
    <col min="4601" max="4601" width="6.453125" style="120" customWidth="1"/>
    <col min="4602" max="4602" width="54.453125" style="120" customWidth="1"/>
    <col min="4603" max="4603" width="22.08984375" style="120" customWidth="1"/>
    <col min="4604" max="4604" width="13.08984375" style="120" customWidth="1"/>
    <col min="4605" max="4605" width="13.453125" style="120" customWidth="1"/>
    <col min="4606" max="4606" width="5.453125" style="120" customWidth="1"/>
    <col min="4607" max="4607" width="6.453125" style="120" customWidth="1"/>
    <col min="4608" max="4609" width="8.90625" style="120" customWidth="1"/>
    <col min="4610" max="4625" width="10.6328125" style="120" customWidth="1"/>
    <col min="4626" max="4855" width="8.90625" style="120"/>
    <col min="4856" max="4856" width="4.90625" style="120" customWidth="1"/>
    <col min="4857" max="4857" width="6.453125" style="120" customWidth="1"/>
    <col min="4858" max="4858" width="54.453125" style="120" customWidth="1"/>
    <col min="4859" max="4859" width="22.08984375" style="120" customWidth="1"/>
    <col min="4860" max="4860" width="13.08984375" style="120" customWidth="1"/>
    <col min="4861" max="4861" width="13.453125" style="120" customWidth="1"/>
    <col min="4862" max="4862" width="5.453125" style="120" customWidth="1"/>
    <col min="4863" max="4863" width="6.453125" style="120" customWidth="1"/>
    <col min="4864" max="4865" width="8.90625" style="120" customWidth="1"/>
    <col min="4866" max="4881" width="10.6328125" style="120" customWidth="1"/>
    <col min="4882" max="5111" width="8.90625" style="120"/>
    <col min="5112" max="5112" width="4.90625" style="120" customWidth="1"/>
    <col min="5113" max="5113" width="6.453125" style="120" customWidth="1"/>
    <col min="5114" max="5114" width="54.453125" style="120" customWidth="1"/>
    <col min="5115" max="5115" width="22.08984375" style="120" customWidth="1"/>
    <col min="5116" max="5116" width="13.08984375" style="120" customWidth="1"/>
    <col min="5117" max="5117" width="13.453125" style="120" customWidth="1"/>
    <col min="5118" max="5118" width="5.453125" style="120" customWidth="1"/>
    <col min="5119" max="5119" width="6.453125" style="120" customWidth="1"/>
    <col min="5120" max="5121" width="8.90625" style="120" customWidth="1"/>
    <col min="5122" max="5137" width="10.6328125" style="120" customWidth="1"/>
    <col min="5138" max="5367" width="8.90625" style="120"/>
    <col min="5368" max="5368" width="4.90625" style="120" customWidth="1"/>
    <col min="5369" max="5369" width="6.453125" style="120" customWidth="1"/>
    <col min="5370" max="5370" width="54.453125" style="120" customWidth="1"/>
    <col min="5371" max="5371" width="22.08984375" style="120" customWidth="1"/>
    <col min="5372" max="5372" width="13.08984375" style="120" customWidth="1"/>
    <col min="5373" max="5373" width="13.453125" style="120" customWidth="1"/>
    <col min="5374" max="5374" width="5.453125" style="120" customWidth="1"/>
    <col min="5375" max="5375" width="6.453125" style="120" customWidth="1"/>
    <col min="5376" max="5377" width="8.90625" style="120" customWidth="1"/>
    <col min="5378" max="5393" width="10.6328125" style="120" customWidth="1"/>
    <col min="5394" max="5623" width="8.90625" style="120"/>
    <col min="5624" max="5624" width="4.90625" style="120" customWidth="1"/>
    <col min="5625" max="5625" width="6.453125" style="120" customWidth="1"/>
    <col min="5626" max="5626" width="54.453125" style="120" customWidth="1"/>
    <col min="5627" max="5627" width="22.08984375" style="120" customWidth="1"/>
    <col min="5628" max="5628" width="13.08984375" style="120" customWidth="1"/>
    <col min="5629" max="5629" width="13.453125" style="120" customWidth="1"/>
    <col min="5630" max="5630" width="5.453125" style="120" customWidth="1"/>
    <col min="5631" max="5631" width="6.453125" style="120" customWidth="1"/>
    <col min="5632" max="5633" width="8.90625" style="120" customWidth="1"/>
    <col min="5634" max="5649" width="10.6328125" style="120" customWidth="1"/>
    <col min="5650" max="5879" width="8.90625" style="120"/>
    <col min="5880" max="5880" width="4.90625" style="120" customWidth="1"/>
    <col min="5881" max="5881" width="6.453125" style="120" customWidth="1"/>
    <col min="5882" max="5882" width="54.453125" style="120" customWidth="1"/>
    <col min="5883" max="5883" width="22.08984375" style="120" customWidth="1"/>
    <col min="5884" max="5884" width="13.08984375" style="120" customWidth="1"/>
    <col min="5885" max="5885" width="13.453125" style="120" customWidth="1"/>
    <col min="5886" max="5886" width="5.453125" style="120" customWidth="1"/>
    <col min="5887" max="5887" width="6.453125" style="120" customWidth="1"/>
    <col min="5888" max="5889" width="8.90625" style="120" customWidth="1"/>
    <col min="5890" max="5905" width="10.6328125" style="120" customWidth="1"/>
    <col min="5906" max="6135" width="8.90625" style="120"/>
    <col min="6136" max="6136" width="4.90625" style="120" customWidth="1"/>
    <col min="6137" max="6137" width="6.453125" style="120" customWidth="1"/>
    <col min="6138" max="6138" width="54.453125" style="120" customWidth="1"/>
    <col min="6139" max="6139" width="22.08984375" style="120" customWidth="1"/>
    <col min="6140" max="6140" width="13.08984375" style="120" customWidth="1"/>
    <col min="6141" max="6141" width="13.453125" style="120" customWidth="1"/>
    <col min="6142" max="6142" width="5.453125" style="120" customWidth="1"/>
    <col min="6143" max="6143" width="6.453125" style="120" customWidth="1"/>
    <col min="6144" max="6145" width="8.90625" style="120" customWidth="1"/>
    <col min="6146" max="6161" width="10.6328125" style="120" customWidth="1"/>
    <col min="6162" max="6391" width="8.90625" style="120"/>
    <col min="6392" max="6392" width="4.90625" style="120" customWidth="1"/>
    <col min="6393" max="6393" width="6.453125" style="120" customWidth="1"/>
    <col min="6394" max="6394" width="54.453125" style="120" customWidth="1"/>
    <col min="6395" max="6395" width="22.08984375" style="120" customWidth="1"/>
    <col min="6396" max="6396" width="13.08984375" style="120" customWidth="1"/>
    <col min="6397" max="6397" width="13.453125" style="120" customWidth="1"/>
    <col min="6398" max="6398" width="5.453125" style="120" customWidth="1"/>
    <col min="6399" max="6399" width="6.453125" style="120" customWidth="1"/>
    <col min="6400" max="6401" width="8.90625" style="120" customWidth="1"/>
    <col min="6402" max="6417" width="10.6328125" style="120" customWidth="1"/>
    <col min="6418" max="6647" width="8.90625" style="120"/>
    <col min="6648" max="6648" width="4.90625" style="120" customWidth="1"/>
    <col min="6649" max="6649" width="6.453125" style="120" customWidth="1"/>
    <col min="6650" max="6650" width="54.453125" style="120" customWidth="1"/>
    <col min="6651" max="6651" width="22.08984375" style="120" customWidth="1"/>
    <col min="6652" max="6652" width="13.08984375" style="120" customWidth="1"/>
    <col min="6653" max="6653" width="13.453125" style="120" customWidth="1"/>
    <col min="6654" max="6654" width="5.453125" style="120" customWidth="1"/>
    <col min="6655" max="6655" width="6.453125" style="120" customWidth="1"/>
    <col min="6656" max="6657" width="8.90625" style="120" customWidth="1"/>
    <col min="6658" max="6673" width="10.6328125" style="120" customWidth="1"/>
    <col min="6674" max="6903" width="8.90625" style="120"/>
    <col min="6904" max="6904" width="4.90625" style="120" customWidth="1"/>
    <col min="6905" max="6905" width="6.453125" style="120" customWidth="1"/>
    <col min="6906" max="6906" width="54.453125" style="120" customWidth="1"/>
    <col min="6907" max="6907" width="22.08984375" style="120" customWidth="1"/>
    <col min="6908" max="6908" width="13.08984375" style="120" customWidth="1"/>
    <col min="6909" max="6909" width="13.453125" style="120" customWidth="1"/>
    <col min="6910" max="6910" width="5.453125" style="120" customWidth="1"/>
    <col min="6911" max="6911" width="6.453125" style="120" customWidth="1"/>
    <col min="6912" max="6913" width="8.90625" style="120" customWidth="1"/>
    <col min="6914" max="6929" width="10.6328125" style="120" customWidth="1"/>
    <col min="6930" max="7159" width="8.90625" style="120"/>
    <col min="7160" max="7160" width="4.90625" style="120" customWidth="1"/>
    <col min="7161" max="7161" width="6.453125" style="120" customWidth="1"/>
    <col min="7162" max="7162" width="54.453125" style="120" customWidth="1"/>
    <col min="7163" max="7163" width="22.08984375" style="120" customWidth="1"/>
    <col min="7164" max="7164" width="13.08984375" style="120" customWidth="1"/>
    <col min="7165" max="7165" width="13.453125" style="120" customWidth="1"/>
    <col min="7166" max="7166" width="5.453125" style="120" customWidth="1"/>
    <col min="7167" max="7167" width="6.453125" style="120" customWidth="1"/>
    <col min="7168" max="7169" width="8.90625" style="120" customWidth="1"/>
    <col min="7170" max="7185" width="10.6328125" style="120" customWidth="1"/>
    <col min="7186" max="7415" width="8.90625" style="120"/>
    <col min="7416" max="7416" width="4.90625" style="120" customWidth="1"/>
    <col min="7417" max="7417" width="6.453125" style="120" customWidth="1"/>
    <col min="7418" max="7418" width="54.453125" style="120" customWidth="1"/>
    <col min="7419" max="7419" width="22.08984375" style="120" customWidth="1"/>
    <col min="7420" max="7420" width="13.08984375" style="120" customWidth="1"/>
    <col min="7421" max="7421" width="13.453125" style="120" customWidth="1"/>
    <col min="7422" max="7422" width="5.453125" style="120" customWidth="1"/>
    <col min="7423" max="7423" width="6.453125" style="120" customWidth="1"/>
    <col min="7424" max="7425" width="8.90625" style="120" customWidth="1"/>
    <col min="7426" max="7441" width="10.6328125" style="120" customWidth="1"/>
    <col min="7442" max="7671" width="8.90625" style="120"/>
    <col min="7672" max="7672" width="4.90625" style="120" customWidth="1"/>
    <col min="7673" max="7673" width="6.453125" style="120" customWidth="1"/>
    <col min="7674" max="7674" width="54.453125" style="120" customWidth="1"/>
    <col min="7675" max="7675" width="22.08984375" style="120" customWidth="1"/>
    <col min="7676" max="7676" width="13.08984375" style="120" customWidth="1"/>
    <col min="7677" max="7677" width="13.453125" style="120" customWidth="1"/>
    <col min="7678" max="7678" width="5.453125" style="120" customWidth="1"/>
    <col min="7679" max="7679" width="6.453125" style="120" customWidth="1"/>
    <col min="7680" max="7681" width="8.90625" style="120" customWidth="1"/>
    <col min="7682" max="7697" width="10.6328125" style="120" customWidth="1"/>
    <col min="7698" max="7927" width="8.90625" style="120"/>
    <col min="7928" max="7928" width="4.90625" style="120" customWidth="1"/>
    <col min="7929" max="7929" width="6.453125" style="120" customWidth="1"/>
    <col min="7930" max="7930" width="54.453125" style="120" customWidth="1"/>
    <col min="7931" max="7931" width="22.08984375" style="120" customWidth="1"/>
    <col min="7932" max="7932" width="13.08984375" style="120" customWidth="1"/>
    <col min="7933" max="7933" width="13.453125" style="120" customWidth="1"/>
    <col min="7934" max="7934" width="5.453125" style="120" customWidth="1"/>
    <col min="7935" max="7935" width="6.453125" style="120" customWidth="1"/>
    <col min="7936" max="7937" width="8.90625" style="120" customWidth="1"/>
    <col min="7938" max="7953" width="10.6328125" style="120" customWidth="1"/>
    <col min="7954" max="8183" width="8.90625" style="120"/>
    <col min="8184" max="8184" width="4.90625" style="120" customWidth="1"/>
    <col min="8185" max="8185" width="6.453125" style="120" customWidth="1"/>
    <col min="8186" max="8186" width="54.453125" style="120" customWidth="1"/>
    <col min="8187" max="8187" width="22.08984375" style="120" customWidth="1"/>
    <col min="8188" max="8188" width="13.08984375" style="120" customWidth="1"/>
    <col min="8189" max="8189" width="13.453125" style="120" customWidth="1"/>
    <col min="8190" max="8190" width="5.453125" style="120" customWidth="1"/>
    <col min="8191" max="8191" width="6.453125" style="120" customWidth="1"/>
    <col min="8192" max="8193" width="8.90625" style="120" customWidth="1"/>
    <col min="8194" max="8209" width="10.6328125" style="120" customWidth="1"/>
    <col min="8210" max="8439" width="8.90625" style="120"/>
    <col min="8440" max="8440" width="4.90625" style="120" customWidth="1"/>
    <col min="8441" max="8441" width="6.453125" style="120" customWidth="1"/>
    <col min="8442" max="8442" width="54.453125" style="120" customWidth="1"/>
    <col min="8443" max="8443" width="22.08984375" style="120" customWidth="1"/>
    <col min="8444" max="8444" width="13.08984375" style="120" customWidth="1"/>
    <col min="8445" max="8445" width="13.453125" style="120" customWidth="1"/>
    <col min="8446" max="8446" width="5.453125" style="120" customWidth="1"/>
    <col min="8447" max="8447" width="6.453125" style="120" customWidth="1"/>
    <col min="8448" max="8449" width="8.90625" style="120" customWidth="1"/>
    <col min="8450" max="8465" width="10.6328125" style="120" customWidth="1"/>
    <col min="8466" max="8695" width="8.90625" style="120"/>
    <col min="8696" max="8696" width="4.90625" style="120" customWidth="1"/>
    <col min="8697" max="8697" width="6.453125" style="120" customWidth="1"/>
    <col min="8698" max="8698" width="54.453125" style="120" customWidth="1"/>
    <col min="8699" max="8699" width="22.08984375" style="120" customWidth="1"/>
    <col min="8700" max="8700" width="13.08984375" style="120" customWidth="1"/>
    <col min="8701" max="8701" width="13.453125" style="120" customWidth="1"/>
    <col min="8702" max="8702" width="5.453125" style="120" customWidth="1"/>
    <col min="8703" max="8703" width="6.453125" style="120" customWidth="1"/>
    <col min="8704" max="8705" width="8.90625" style="120" customWidth="1"/>
    <col min="8706" max="8721" width="10.6328125" style="120" customWidth="1"/>
    <col min="8722" max="8951" width="8.90625" style="120"/>
    <col min="8952" max="8952" width="4.90625" style="120" customWidth="1"/>
    <col min="8953" max="8953" width="6.453125" style="120" customWidth="1"/>
    <col min="8954" max="8954" width="54.453125" style="120" customWidth="1"/>
    <col min="8955" max="8955" width="22.08984375" style="120" customWidth="1"/>
    <col min="8956" max="8956" width="13.08984375" style="120" customWidth="1"/>
    <col min="8957" max="8957" width="13.453125" style="120" customWidth="1"/>
    <col min="8958" max="8958" width="5.453125" style="120" customWidth="1"/>
    <col min="8959" max="8959" width="6.453125" style="120" customWidth="1"/>
    <col min="8960" max="8961" width="8.90625" style="120" customWidth="1"/>
    <col min="8962" max="8977" width="10.6328125" style="120" customWidth="1"/>
    <col min="8978" max="9207" width="8.90625" style="120"/>
    <col min="9208" max="9208" width="4.90625" style="120" customWidth="1"/>
    <col min="9209" max="9209" width="6.453125" style="120" customWidth="1"/>
    <col min="9210" max="9210" width="54.453125" style="120" customWidth="1"/>
    <col min="9211" max="9211" width="22.08984375" style="120" customWidth="1"/>
    <col min="9212" max="9212" width="13.08984375" style="120" customWidth="1"/>
    <col min="9213" max="9213" width="13.453125" style="120" customWidth="1"/>
    <col min="9214" max="9214" width="5.453125" style="120" customWidth="1"/>
    <col min="9215" max="9215" width="6.453125" style="120" customWidth="1"/>
    <col min="9216" max="9217" width="8.90625" style="120" customWidth="1"/>
    <col min="9218" max="9233" width="10.6328125" style="120" customWidth="1"/>
    <col min="9234" max="9463" width="8.90625" style="120"/>
    <col min="9464" max="9464" width="4.90625" style="120" customWidth="1"/>
    <col min="9465" max="9465" width="6.453125" style="120" customWidth="1"/>
    <col min="9466" max="9466" width="54.453125" style="120" customWidth="1"/>
    <col min="9467" max="9467" width="22.08984375" style="120" customWidth="1"/>
    <col min="9468" max="9468" width="13.08984375" style="120" customWidth="1"/>
    <col min="9469" max="9469" width="13.453125" style="120" customWidth="1"/>
    <col min="9470" max="9470" width="5.453125" style="120" customWidth="1"/>
    <col min="9471" max="9471" width="6.453125" style="120" customWidth="1"/>
    <col min="9472" max="9473" width="8.90625" style="120" customWidth="1"/>
    <col min="9474" max="9489" width="10.6328125" style="120" customWidth="1"/>
    <col min="9490" max="9719" width="8.90625" style="120"/>
    <col min="9720" max="9720" width="4.90625" style="120" customWidth="1"/>
    <col min="9721" max="9721" width="6.453125" style="120" customWidth="1"/>
    <col min="9722" max="9722" width="54.453125" style="120" customWidth="1"/>
    <col min="9723" max="9723" width="22.08984375" style="120" customWidth="1"/>
    <col min="9724" max="9724" width="13.08984375" style="120" customWidth="1"/>
    <col min="9725" max="9725" width="13.453125" style="120" customWidth="1"/>
    <col min="9726" max="9726" width="5.453125" style="120" customWidth="1"/>
    <col min="9727" max="9727" width="6.453125" style="120" customWidth="1"/>
    <col min="9728" max="9729" width="8.90625" style="120" customWidth="1"/>
    <col min="9730" max="9745" width="10.6328125" style="120" customWidth="1"/>
    <col min="9746" max="9975" width="8.90625" style="120"/>
    <col min="9976" max="9976" width="4.90625" style="120" customWidth="1"/>
    <col min="9977" max="9977" width="6.453125" style="120" customWidth="1"/>
    <col min="9978" max="9978" width="54.453125" style="120" customWidth="1"/>
    <col min="9979" max="9979" width="22.08984375" style="120" customWidth="1"/>
    <col min="9980" max="9980" width="13.08984375" style="120" customWidth="1"/>
    <col min="9981" max="9981" width="13.453125" style="120" customWidth="1"/>
    <col min="9982" max="9982" width="5.453125" style="120" customWidth="1"/>
    <col min="9983" max="9983" width="6.453125" style="120" customWidth="1"/>
    <col min="9984" max="9985" width="8.90625" style="120" customWidth="1"/>
    <col min="9986" max="10001" width="10.6328125" style="120" customWidth="1"/>
    <col min="10002" max="10231" width="8.90625" style="120"/>
    <col min="10232" max="10232" width="4.90625" style="120" customWidth="1"/>
    <col min="10233" max="10233" width="6.453125" style="120" customWidth="1"/>
    <col min="10234" max="10234" width="54.453125" style="120" customWidth="1"/>
    <col min="10235" max="10235" width="22.08984375" style="120" customWidth="1"/>
    <col min="10236" max="10236" width="13.08984375" style="120" customWidth="1"/>
    <col min="10237" max="10237" width="13.453125" style="120" customWidth="1"/>
    <col min="10238" max="10238" width="5.453125" style="120" customWidth="1"/>
    <col min="10239" max="10239" width="6.453125" style="120" customWidth="1"/>
    <col min="10240" max="10241" width="8.90625" style="120" customWidth="1"/>
    <col min="10242" max="10257" width="10.6328125" style="120" customWidth="1"/>
    <col min="10258" max="10487" width="8.90625" style="120"/>
    <col min="10488" max="10488" width="4.90625" style="120" customWidth="1"/>
    <col min="10489" max="10489" width="6.453125" style="120" customWidth="1"/>
    <col min="10490" max="10490" width="54.453125" style="120" customWidth="1"/>
    <col min="10491" max="10491" width="22.08984375" style="120" customWidth="1"/>
    <col min="10492" max="10492" width="13.08984375" style="120" customWidth="1"/>
    <col min="10493" max="10493" width="13.453125" style="120" customWidth="1"/>
    <col min="10494" max="10494" width="5.453125" style="120" customWidth="1"/>
    <col min="10495" max="10495" width="6.453125" style="120" customWidth="1"/>
    <col min="10496" max="10497" width="8.90625" style="120" customWidth="1"/>
    <col min="10498" max="10513" width="10.6328125" style="120" customWidth="1"/>
    <col min="10514" max="10743" width="8.90625" style="120"/>
    <col min="10744" max="10744" width="4.90625" style="120" customWidth="1"/>
    <col min="10745" max="10745" width="6.453125" style="120" customWidth="1"/>
    <col min="10746" max="10746" width="54.453125" style="120" customWidth="1"/>
    <col min="10747" max="10747" width="22.08984375" style="120" customWidth="1"/>
    <col min="10748" max="10748" width="13.08984375" style="120" customWidth="1"/>
    <col min="10749" max="10749" width="13.453125" style="120" customWidth="1"/>
    <col min="10750" max="10750" width="5.453125" style="120" customWidth="1"/>
    <col min="10751" max="10751" width="6.453125" style="120" customWidth="1"/>
    <col min="10752" max="10753" width="8.90625" style="120" customWidth="1"/>
    <col min="10754" max="10769" width="10.6328125" style="120" customWidth="1"/>
    <col min="10770" max="10999" width="8.90625" style="120"/>
    <col min="11000" max="11000" width="4.90625" style="120" customWidth="1"/>
    <col min="11001" max="11001" width="6.453125" style="120" customWidth="1"/>
    <col min="11002" max="11002" width="54.453125" style="120" customWidth="1"/>
    <col min="11003" max="11003" width="22.08984375" style="120" customWidth="1"/>
    <col min="11004" max="11004" width="13.08984375" style="120" customWidth="1"/>
    <col min="11005" max="11005" width="13.453125" style="120" customWidth="1"/>
    <col min="11006" max="11006" width="5.453125" style="120" customWidth="1"/>
    <col min="11007" max="11007" width="6.453125" style="120" customWidth="1"/>
    <col min="11008" max="11009" width="8.90625" style="120" customWidth="1"/>
    <col min="11010" max="11025" width="10.6328125" style="120" customWidth="1"/>
    <col min="11026" max="11255" width="8.90625" style="120"/>
    <col min="11256" max="11256" width="4.90625" style="120" customWidth="1"/>
    <col min="11257" max="11257" width="6.453125" style="120" customWidth="1"/>
    <col min="11258" max="11258" width="54.453125" style="120" customWidth="1"/>
    <col min="11259" max="11259" width="22.08984375" style="120" customWidth="1"/>
    <col min="11260" max="11260" width="13.08984375" style="120" customWidth="1"/>
    <col min="11261" max="11261" width="13.453125" style="120" customWidth="1"/>
    <col min="11262" max="11262" width="5.453125" style="120" customWidth="1"/>
    <col min="11263" max="11263" width="6.453125" style="120" customWidth="1"/>
    <col min="11264" max="11265" width="8.90625" style="120" customWidth="1"/>
    <col min="11266" max="11281" width="10.6328125" style="120" customWidth="1"/>
    <col min="11282" max="11511" width="8.90625" style="120"/>
    <col min="11512" max="11512" width="4.90625" style="120" customWidth="1"/>
    <col min="11513" max="11513" width="6.453125" style="120" customWidth="1"/>
    <col min="11514" max="11514" width="54.453125" style="120" customWidth="1"/>
    <col min="11515" max="11515" width="22.08984375" style="120" customWidth="1"/>
    <col min="11516" max="11516" width="13.08984375" style="120" customWidth="1"/>
    <col min="11517" max="11517" width="13.453125" style="120" customWidth="1"/>
    <col min="11518" max="11518" width="5.453125" style="120" customWidth="1"/>
    <col min="11519" max="11519" width="6.453125" style="120" customWidth="1"/>
    <col min="11520" max="11521" width="8.90625" style="120" customWidth="1"/>
    <col min="11522" max="11537" width="10.6328125" style="120" customWidth="1"/>
    <col min="11538" max="11767" width="8.90625" style="120"/>
    <col min="11768" max="11768" width="4.90625" style="120" customWidth="1"/>
    <col min="11769" max="11769" width="6.453125" style="120" customWidth="1"/>
    <col min="11770" max="11770" width="54.453125" style="120" customWidth="1"/>
    <col min="11771" max="11771" width="22.08984375" style="120" customWidth="1"/>
    <col min="11772" max="11772" width="13.08984375" style="120" customWidth="1"/>
    <col min="11773" max="11773" width="13.453125" style="120" customWidth="1"/>
    <col min="11774" max="11774" width="5.453125" style="120" customWidth="1"/>
    <col min="11775" max="11775" width="6.453125" style="120" customWidth="1"/>
    <col min="11776" max="11777" width="8.90625" style="120" customWidth="1"/>
    <col min="11778" max="11793" width="10.6328125" style="120" customWidth="1"/>
    <col min="11794" max="12023" width="8.90625" style="120"/>
    <col min="12024" max="12024" width="4.90625" style="120" customWidth="1"/>
    <col min="12025" max="12025" width="6.453125" style="120" customWidth="1"/>
    <col min="12026" max="12026" width="54.453125" style="120" customWidth="1"/>
    <col min="12027" max="12027" width="22.08984375" style="120" customWidth="1"/>
    <col min="12028" max="12028" width="13.08984375" style="120" customWidth="1"/>
    <col min="12029" max="12029" width="13.453125" style="120" customWidth="1"/>
    <col min="12030" max="12030" width="5.453125" style="120" customWidth="1"/>
    <col min="12031" max="12031" width="6.453125" style="120" customWidth="1"/>
    <col min="12032" max="12033" width="8.90625" style="120" customWidth="1"/>
    <col min="12034" max="12049" width="10.6328125" style="120" customWidth="1"/>
    <col min="12050" max="12279" width="8.90625" style="120"/>
    <col min="12280" max="12280" width="4.90625" style="120" customWidth="1"/>
    <col min="12281" max="12281" width="6.453125" style="120" customWidth="1"/>
    <col min="12282" max="12282" width="54.453125" style="120" customWidth="1"/>
    <col min="12283" max="12283" width="22.08984375" style="120" customWidth="1"/>
    <col min="12284" max="12284" width="13.08984375" style="120" customWidth="1"/>
    <col min="12285" max="12285" width="13.453125" style="120" customWidth="1"/>
    <col min="12286" max="12286" width="5.453125" style="120" customWidth="1"/>
    <col min="12287" max="12287" width="6.453125" style="120" customWidth="1"/>
    <col min="12288" max="12289" width="8.90625" style="120" customWidth="1"/>
    <col min="12290" max="12305" width="10.6328125" style="120" customWidth="1"/>
    <col min="12306" max="12535" width="8.90625" style="120"/>
    <col min="12536" max="12536" width="4.90625" style="120" customWidth="1"/>
    <col min="12537" max="12537" width="6.453125" style="120" customWidth="1"/>
    <col min="12538" max="12538" width="54.453125" style="120" customWidth="1"/>
    <col min="12539" max="12539" width="22.08984375" style="120" customWidth="1"/>
    <col min="12540" max="12540" width="13.08984375" style="120" customWidth="1"/>
    <col min="12541" max="12541" width="13.453125" style="120" customWidth="1"/>
    <col min="12542" max="12542" width="5.453125" style="120" customWidth="1"/>
    <col min="12543" max="12543" width="6.453125" style="120" customWidth="1"/>
    <col min="12544" max="12545" width="8.90625" style="120" customWidth="1"/>
    <col min="12546" max="12561" width="10.6328125" style="120" customWidth="1"/>
    <col min="12562" max="12791" width="8.90625" style="120"/>
    <col min="12792" max="12792" width="4.90625" style="120" customWidth="1"/>
    <col min="12793" max="12793" width="6.453125" style="120" customWidth="1"/>
    <col min="12794" max="12794" width="54.453125" style="120" customWidth="1"/>
    <col min="12795" max="12795" width="22.08984375" style="120" customWidth="1"/>
    <col min="12796" max="12796" width="13.08984375" style="120" customWidth="1"/>
    <col min="12797" max="12797" width="13.453125" style="120" customWidth="1"/>
    <col min="12798" max="12798" width="5.453125" style="120" customWidth="1"/>
    <col min="12799" max="12799" width="6.453125" style="120" customWidth="1"/>
    <col min="12800" max="12801" width="8.90625" style="120" customWidth="1"/>
    <col min="12802" max="12817" width="10.6328125" style="120" customWidth="1"/>
    <col min="12818" max="13047" width="8.90625" style="120"/>
    <col min="13048" max="13048" width="4.90625" style="120" customWidth="1"/>
    <col min="13049" max="13049" width="6.453125" style="120" customWidth="1"/>
    <col min="13050" max="13050" width="54.453125" style="120" customWidth="1"/>
    <col min="13051" max="13051" width="22.08984375" style="120" customWidth="1"/>
    <col min="13052" max="13052" width="13.08984375" style="120" customWidth="1"/>
    <col min="13053" max="13053" width="13.453125" style="120" customWidth="1"/>
    <col min="13054" max="13054" width="5.453125" style="120" customWidth="1"/>
    <col min="13055" max="13055" width="6.453125" style="120" customWidth="1"/>
    <col min="13056" max="13057" width="8.90625" style="120" customWidth="1"/>
    <col min="13058" max="13073" width="10.6328125" style="120" customWidth="1"/>
    <col min="13074" max="13303" width="8.90625" style="120"/>
    <col min="13304" max="13304" width="4.90625" style="120" customWidth="1"/>
    <col min="13305" max="13305" width="6.453125" style="120" customWidth="1"/>
    <col min="13306" max="13306" width="54.453125" style="120" customWidth="1"/>
    <col min="13307" max="13307" width="22.08984375" style="120" customWidth="1"/>
    <col min="13308" max="13308" width="13.08984375" style="120" customWidth="1"/>
    <col min="13309" max="13309" width="13.453125" style="120" customWidth="1"/>
    <col min="13310" max="13310" width="5.453125" style="120" customWidth="1"/>
    <col min="13311" max="13311" width="6.453125" style="120" customWidth="1"/>
    <col min="13312" max="13313" width="8.90625" style="120" customWidth="1"/>
    <col min="13314" max="13329" width="10.6328125" style="120" customWidth="1"/>
    <col min="13330" max="13559" width="8.90625" style="120"/>
    <col min="13560" max="13560" width="4.90625" style="120" customWidth="1"/>
    <col min="13561" max="13561" width="6.453125" style="120" customWidth="1"/>
    <col min="13562" max="13562" width="54.453125" style="120" customWidth="1"/>
    <col min="13563" max="13563" width="22.08984375" style="120" customWidth="1"/>
    <col min="13564" max="13564" width="13.08984375" style="120" customWidth="1"/>
    <col min="13565" max="13565" width="13.453125" style="120" customWidth="1"/>
    <col min="13566" max="13566" width="5.453125" style="120" customWidth="1"/>
    <col min="13567" max="13567" width="6.453125" style="120" customWidth="1"/>
    <col min="13568" max="13569" width="8.90625" style="120" customWidth="1"/>
    <col min="13570" max="13585" width="10.6328125" style="120" customWidth="1"/>
    <col min="13586" max="13815" width="8.90625" style="120"/>
    <col min="13816" max="13816" width="4.90625" style="120" customWidth="1"/>
    <col min="13817" max="13817" width="6.453125" style="120" customWidth="1"/>
    <col min="13818" max="13818" width="54.453125" style="120" customWidth="1"/>
    <col min="13819" max="13819" width="22.08984375" style="120" customWidth="1"/>
    <col min="13820" max="13820" width="13.08984375" style="120" customWidth="1"/>
    <col min="13821" max="13821" width="13.453125" style="120" customWidth="1"/>
    <col min="13822" max="13822" width="5.453125" style="120" customWidth="1"/>
    <col min="13823" max="13823" width="6.453125" style="120" customWidth="1"/>
    <col min="13824" max="13825" width="8.90625" style="120" customWidth="1"/>
    <col min="13826" max="13841" width="10.6328125" style="120" customWidth="1"/>
    <col min="13842" max="14071" width="8.90625" style="120"/>
    <col min="14072" max="14072" width="4.90625" style="120" customWidth="1"/>
    <col min="14073" max="14073" width="6.453125" style="120" customWidth="1"/>
    <col min="14074" max="14074" width="54.453125" style="120" customWidth="1"/>
    <col min="14075" max="14075" width="22.08984375" style="120" customWidth="1"/>
    <col min="14076" max="14076" width="13.08984375" style="120" customWidth="1"/>
    <col min="14077" max="14077" width="13.453125" style="120" customWidth="1"/>
    <col min="14078" max="14078" width="5.453125" style="120" customWidth="1"/>
    <col min="14079" max="14079" width="6.453125" style="120" customWidth="1"/>
    <col min="14080" max="14081" width="8.90625" style="120" customWidth="1"/>
    <col min="14082" max="14097" width="10.6328125" style="120" customWidth="1"/>
    <col min="14098" max="14327" width="8.90625" style="120"/>
    <col min="14328" max="14328" width="4.90625" style="120" customWidth="1"/>
    <col min="14329" max="14329" width="6.453125" style="120" customWidth="1"/>
    <col min="14330" max="14330" width="54.453125" style="120" customWidth="1"/>
    <col min="14331" max="14331" width="22.08984375" style="120" customWidth="1"/>
    <col min="14332" max="14332" width="13.08984375" style="120" customWidth="1"/>
    <col min="14333" max="14333" width="13.453125" style="120" customWidth="1"/>
    <col min="14334" max="14334" width="5.453125" style="120" customWidth="1"/>
    <col min="14335" max="14335" width="6.453125" style="120" customWidth="1"/>
    <col min="14336" max="14337" width="8.90625" style="120" customWidth="1"/>
    <col min="14338" max="14353" width="10.6328125" style="120" customWidth="1"/>
    <col min="14354" max="14583" width="8.90625" style="120"/>
    <col min="14584" max="14584" width="4.90625" style="120" customWidth="1"/>
    <col min="14585" max="14585" width="6.453125" style="120" customWidth="1"/>
    <col min="14586" max="14586" width="54.453125" style="120" customWidth="1"/>
    <col min="14587" max="14587" width="22.08984375" style="120" customWidth="1"/>
    <col min="14588" max="14588" width="13.08984375" style="120" customWidth="1"/>
    <col min="14589" max="14589" width="13.453125" style="120" customWidth="1"/>
    <col min="14590" max="14590" width="5.453125" style="120" customWidth="1"/>
    <col min="14591" max="14591" width="6.453125" style="120" customWidth="1"/>
    <col min="14592" max="14593" width="8.90625" style="120" customWidth="1"/>
    <col min="14594" max="14609" width="10.6328125" style="120" customWidth="1"/>
    <col min="14610" max="14839" width="8.90625" style="120"/>
    <col min="14840" max="14840" width="4.90625" style="120" customWidth="1"/>
    <col min="14841" max="14841" width="6.453125" style="120" customWidth="1"/>
    <col min="14842" max="14842" width="54.453125" style="120" customWidth="1"/>
    <col min="14843" max="14843" width="22.08984375" style="120" customWidth="1"/>
    <col min="14844" max="14844" width="13.08984375" style="120" customWidth="1"/>
    <col min="14845" max="14845" width="13.453125" style="120" customWidth="1"/>
    <col min="14846" max="14846" width="5.453125" style="120" customWidth="1"/>
    <col min="14847" max="14847" width="6.453125" style="120" customWidth="1"/>
    <col min="14848" max="14849" width="8.90625" style="120" customWidth="1"/>
    <col min="14850" max="14865" width="10.6328125" style="120" customWidth="1"/>
    <col min="14866" max="15095" width="8.90625" style="120"/>
    <col min="15096" max="15096" width="4.90625" style="120" customWidth="1"/>
    <col min="15097" max="15097" width="6.453125" style="120" customWidth="1"/>
    <col min="15098" max="15098" width="54.453125" style="120" customWidth="1"/>
    <col min="15099" max="15099" width="22.08984375" style="120" customWidth="1"/>
    <col min="15100" max="15100" width="13.08984375" style="120" customWidth="1"/>
    <col min="15101" max="15101" width="13.453125" style="120" customWidth="1"/>
    <col min="15102" max="15102" width="5.453125" style="120" customWidth="1"/>
    <col min="15103" max="15103" width="6.453125" style="120" customWidth="1"/>
    <col min="15104" max="15105" width="8.90625" style="120" customWidth="1"/>
    <col min="15106" max="15121" width="10.6328125" style="120" customWidth="1"/>
    <col min="15122" max="15351" width="8.90625" style="120"/>
    <col min="15352" max="15352" width="4.90625" style="120" customWidth="1"/>
    <col min="15353" max="15353" width="6.453125" style="120" customWidth="1"/>
    <col min="15354" max="15354" width="54.453125" style="120" customWidth="1"/>
    <col min="15355" max="15355" width="22.08984375" style="120" customWidth="1"/>
    <col min="15356" max="15356" width="13.08984375" style="120" customWidth="1"/>
    <col min="15357" max="15357" width="13.453125" style="120" customWidth="1"/>
    <col min="15358" max="15358" width="5.453125" style="120" customWidth="1"/>
    <col min="15359" max="15359" width="6.453125" style="120" customWidth="1"/>
    <col min="15360" max="15361" width="8.90625" style="120" customWidth="1"/>
    <col min="15362" max="15377" width="10.6328125" style="120" customWidth="1"/>
    <col min="15378" max="15607" width="8.90625" style="120"/>
    <col min="15608" max="15608" width="4.90625" style="120" customWidth="1"/>
    <col min="15609" max="15609" width="6.453125" style="120" customWidth="1"/>
    <col min="15610" max="15610" width="54.453125" style="120" customWidth="1"/>
    <col min="15611" max="15611" width="22.08984375" style="120" customWidth="1"/>
    <col min="15612" max="15612" width="13.08984375" style="120" customWidth="1"/>
    <col min="15613" max="15613" width="13.453125" style="120" customWidth="1"/>
    <col min="15614" max="15614" width="5.453125" style="120" customWidth="1"/>
    <col min="15615" max="15615" width="6.453125" style="120" customWidth="1"/>
    <col min="15616" max="15617" width="8.90625" style="120" customWidth="1"/>
    <col min="15618" max="15633" width="10.6328125" style="120" customWidth="1"/>
    <col min="15634" max="15863" width="8.90625" style="120"/>
    <col min="15864" max="15864" width="4.90625" style="120" customWidth="1"/>
    <col min="15865" max="15865" width="6.453125" style="120" customWidth="1"/>
    <col min="15866" max="15866" width="54.453125" style="120" customWidth="1"/>
    <col min="15867" max="15867" width="22.08984375" style="120" customWidth="1"/>
    <col min="15868" max="15868" width="13.08984375" style="120" customWidth="1"/>
    <col min="15869" max="15869" width="13.453125" style="120" customWidth="1"/>
    <col min="15870" max="15870" width="5.453125" style="120" customWidth="1"/>
    <col min="15871" max="15871" width="6.453125" style="120" customWidth="1"/>
    <col min="15872" max="15873" width="8.90625" style="120" customWidth="1"/>
    <col min="15874" max="15889" width="10.6328125" style="120" customWidth="1"/>
    <col min="15890" max="16119" width="8.90625" style="120"/>
    <col min="16120" max="16120" width="4.90625" style="120" customWidth="1"/>
    <col min="16121" max="16121" width="6.453125" style="120" customWidth="1"/>
    <col min="16122" max="16122" width="54.453125" style="120" customWidth="1"/>
    <col min="16123" max="16123" width="22.08984375" style="120" customWidth="1"/>
    <col min="16124" max="16124" width="13.08984375" style="120" customWidth="1"/>
    <col min="16125" max="16125" width="13.453125" style="120" customWidth="1"/>
    <col min="16126" max="16126" width="5.453125" style="120" customWidth="1"/>
    <col min="16127" max="16127" width="6.453125" style="120" customWidth="1"/>
    <col min="16128" max="16129" width="8.90625" style="120" customWidth="1"/>
    <col min="16130" max="16145" width="10.6328125" style="120" customWidth="1"/>
    <col min="16146" max="16384" width="8.90625" style="120"/>
  </cols>
  <sheetData>
    <row r="1" spans="2:26" ht="29.15" customHeight="1">
      <c r="B1" s="750" t="s">
        <v>722</v>
      </c>
      <c r="C1" s="751"/>
      <c r="D1" s="751"/>
      <c r="E1" s="751"/>
      <c r="F1" s="751"/>
      <c r="G1" s="751"/>
      <c r="H1" s="751"/>
      <c r="I1" s="751"/>
      <c r="J1" s="751"/>
      <c r="K1" s="751"/>
      <c r="L1" s="751"/>
      <c r="M1" s="751"/>
      <c r="N1" s="751"/>
      <c r="O1" s="751"/>
      <c r="P1" s="751"/>
      <c r="Q1" s="751"/>
      <c r="R1" s="751"/>
      <c r="S1" s="751"/>
      <c r="T1" s="751"/>
      <c r="U1" s="373"/>
      <c r="V1" s="237"/>
    </row>
    <row r="2" spans="2:26">
      <c r="B2" s="232" t="s">
        <v>240</v>
      </c>
      <c r="C2" s="233" t="s">
        <v>241</v>
      </c>
      <c r="D2" s="229" t="s">
        <v>244</v>
      </c>
      <c r="E2" s="250" t="s">
        <v>306</v>
      </c>
      <c r="F2" s="229" t="s">
        <v>245</v>
      </c>
      <c r="G2" s="484" t="s">
        <v>477</v>
      </c>
      <c r="H2" s="484" t="s">
        <v>478</v>
      </c>
      <c r="I2" s="484" t="s">
        <v>479</v>
      </c>
      <c r="J2" s="484" t="s">
        <v>480</v>
      </c>
      <c r="K2" s="484" t="s">
        <v>481</v>
      </c>
      <c r="L2" s="484" t="s">
        <v>482</v>
      </c>
      <c r="M2" s="484" t="s">
        <v>483</v>
      </c>
      <c r="N2" s="484" t="s">
        <v>484</v>
      </c>
      <c r="O2" s="484" t="s">
        <v>485</v>
      </c>
      <c r="P2" s="484" t="s">
        <v>486</v>
      </c>
      <c r="Q2" s="484" t="s">
        <v>487</v>
      </c>
      <c r="R2" s="484" t="s">
        <v>488</v>
      </c>
      <c r="S2" s="484" t="s">
        <v>489</v>
      </c>
      <c r="T2" s="484" t="s">
        <v>490</v>
      </c>
      <c r="U2" s="484" t="s">
        <v>491</v>
      </c>
      <c r="V2" s="484" t="s">
        <v>492</v>
      </c>
      <c r="W2" s="484" t="s">
        <v>493</v>
      </c>
      <c r="X2" s="484" t="s">
        <v>494</v>
      </c>
      <c r="Y2" s="484" t="s">
        <v>495</v>
      </c>
      <c r="Z2" s="484" t="s">
        <v>496</v>
      </c>
    </row>
    <row r="3" spans="2:26" ht="20.149999999999999" customHeight="1">
      <c r="B3" s="252" t="s">
        <v>682</v>
      </c>
      <c r="C3" s="242" t="s">
        <v>526</v>
      </c>
      <c r="D3" s="235"/>
      <c r="E3" s="251"/>
      <c r="F3" s="236">
        <f>SUM(G3:Z3)</f>
        <v>115945.07200000001</v>
      </c>
      <c r="G3" s="308">
        <f t="shared" ref="G3:P3" si="0">SUM(G6)</f>
        <v>0</v>
      </c>
      <c r="H3" s="308">
        <f t="shared" si="0"/>
        <v>0</v>
      </c>
      <c r="I3" s="308">
        <f t="shared" si="0"/>
        <v>0</v>
      </c>
      <c r="J3" s="308">
        <f t="shared" si="0"/>
        <v>23989.014400000007</v>
      </c>
      <c r="K3" s="308">
        <f t="shared" si="0"/>
        <v>9345.6057600000004</v>
      </c>
      <c r="L3" s="308">
        <f t="shared" si="0"/>
        <v>9345.6057600000004</v>
      </c>
      <c r="M3" s="308">
        <f t="shared" si="0"/>
        <v>12943.957920000001</v>
      </c>
      <c r="N3" s="308">
        <f t="shared" si="0"/>
        <v>6946.7043200000007</v>
      </c>
      <c r="O3" s="308">
        <f t="shared" si="0"/>
        <v>4547.8028800000002</v>
      </c>
      <c r="P3" s="308">
        <f t="shared" si="0"/>
        <v>3348.3521600000004</v>
      </c>
      <c r="Q3" s="308">
        <f>SUM(Q6)</f>
        <v>2148.9014400000001</v>
      </c>
      <c r="R3" s="308">
        <f t="shared" ref="R3:Z3" si="1">SUM(R6)</f>
        <v>2148.9014400000001</v>
      </c>
      <c r="S3" s="308">
        <f t="shared" si="1"/>
        <v>2148.9014400000001</v>
      </c>
      <c r="T3" s="308">
        <f t="shared" si="1"/>
        <v>2148.9014400000001</v>
      </c>
      <c r="U3" s="308">
        <f t="shared" si="1"/>
        <v>2148.9014400000001</v>
      </c>
      <c r="V3" s="308">
        <f t="shared" si="1"/>
        <v>2148.9014400000001</v>
      </c>
      <c r="W3" s="308">
        <f t="shared" si="1"/>
        <v>2148.9014400000001</v>
      </c>
      <c r="X3" s="308">
        <f t="shared" si="1"/>
        <v>2148.9014400000001</v>
      </c>
      <c r="Y3" s="308">
        <f t="shared" si="1"/>
        <v>2148.9014400000001</v>
      </c>
      <c r="Z3" s="308">
        <f t="shared" si="1"/>
        <v>26137.915840000001</v>
      </c>
    </row>
    <row r="4" spans="2:26" ht="20.149999999999999" customHeight="1">
      <c r="B4" s="252" t="s">
        <v>307</v>
      </c>
      <c r="C4" s="242" t="s">
        <v>706</v>
      </c>
      <c r="D4" s="235"/>
      <c r="E4" s="251"/>
      <c r="F4" s="236">
        <f ca="1">SUM(G4:Z4)</f>
        <v>921.96831849264277</v>
      </c>
      <c r="G4" s="309">
        <f ca="1">G33+G34+'附表4 税金及附加表'!F6</f>
        <v>0</v>
      </c>
      <c r="H4" s="309">
        <f>H33+H34+'附表4 税金及附加表'!G6</f>
        <v>0</v>
      </c>
      <c r="I4" s="309">
        <f>I33+I34+'附表4 税金及附加表'!H6</f>
        <v>0</v>
      </c>
      <c r="J4" s="309">
        <f>J33+J34+'附表4 税金及附加表'!I6</f>
        <v>0</v>
      </c>
      <c r="K4" s="309">
        <f>K33+K34+'附表4 税金及附加表'!J6</f>
        <v>0</v>
      </c>
      <c r="L4" s="309">
        <f>L33+L34+'附表4 税金及附加表'!K6</f>
        <v>0</v>
      </c>
      <c r="M4" s="309">
        <f>M33+M34+'附表4 税金及附加表'!L6</f>
        <v>0</v>
      </c>
      <c r="N4" s="309">
        <f>N33+N34+'附表4 税金及附加表'!M6</f>
        <v>0</v>
      </c>
      <c r="O4" s="309">
        <f>O33+O34+'附表4 税金及附加表'!N6</f>
        <v>0</v>
      </c>
      <c r="P4" s="309">
        <f>P33+P34+'附表4 税金及附加表'!O6</f>
        <v>0</v>
      </c>
      <c r="Q4" s="309">
        <f>Q33+Q34+'附表4 税金及附加表'!P6</f>
        <v>0</v>
      </c>
      <c r="R4" s="309">
        <f>R33+R34+'附表4 税金及附加表'!Q6</f>
        <v>0</v>
      </c>
      <c r="S4" s="309">
        <f>S33+S34+'附表4 税金及附加表'!R6</f>
        <v>0</v>
      </c>
      <c r="T4" s="309">
        <f>T33+T34+'附表4 税金及附加表'!S6</f>
        <v>0</v>
      </c>
      <c r="U4" s="309">
        <f>U33+U34+'附表4 税金及附加表'!T6</f>
        <v>0</v>
      </c>
      <c r="V4" s="309">
        <f>V33+V34+'附表4 税金及附加表'!U6</f>
        <v>0</v>
      </c>
      <c r="W4" s="309">
        <f>W33+W34+'附表4 税金及附加表'!V6</f>
        <v>0</v>
      </c>
      <c r="X4" s="309">
        <f>X33+X34+'附表4 税金及附加表'!W6</f>
        <v>0</v>
      </c>
      <c r="Y4" s="309">
        <f>Y33+Y34+'附表4 税金及附加表'!X6</f>
        <v>0</v>
      </c>
      <c r="Z4" s="309">
        <f>Z33+Z34+'附表4 税金及附加表'!Y6</f>
        <v>921.96831849264277</v>
      </c>
    </row>
    <row r="5" spans="2:26" ht="20.149999999999999" customHeight="1">
      <c r="B5" s="252" t="s">
        <v>708</v>
      </c>
      <c r="C5" s="242" t="s">
        <v>365</v>
      </c>
      <c r="D5" s="235"/>
      <c r="E5" s="251"/>
      <c r="F5" s="236">
        <f ca="1">SUM(G5:Z5)</f>
        <v>115023.10368150737</v>
      </c>
      <c r="G5" s="236">
        <f ca="1">G3-G4</f>
        <v>0</v>
      </c>
      <c r="H5" s="236">
        <f t="shared" ref="H5:Z5" si="2">H3-H4</f>
        <v>0</v>
      </c>
      <c r="I5" s="236">
        <f t="shared" si="2"/>
        <v>0</v>
      </c>
      <c r="J5" s="236">
        <f t="shared" si="2"/>
        <v>23989.014400000007</v>
      </c>
      <c r="K5" s="236">
        <f t="shared" si="2"/>
        <v>9345.6057600000004</v>
      </c>
      <c r="L5" s="236">
        <f t="shared" si="2"/>
        <v>9345.6057600000004</v>
      </c>
      <c r="M5" s="236">
        <f t="shared" si="2"/>
        <v>12943.957920000001</v>
      </c>
      <c r="N5" s="236">
        <f t="shared" si="2"/>
        <v>6946.7043200000007</v>
      </c>
      <c r="O5" s="236">
        <f t="shared" si="2"/>
        <v>4547.8028800000002</v>
      </c>
      <c r="P5" s="236">
        <f t="shared" si="2"/>
        <v>3348.3521600000004</v>
      </c>
      <c r="Q5" s="236">
        <f t="shared" si="2"/>
        <v>2148.9014400000001</v>
      </c>
      <c r="R5" s="236">
        <f t="shared" si="2"/>
        <v>2148.9014400000001</v>
      </c>
      <c r="S5" s="236">
        <f t="shared" si="2"/>
        <v>2148.9014400000001</v>
      </c>
      <c r="T5" s="236">
        <f t="shared" si="2"/>
        <v>2148.9014400000001</v>
      </c>
      <c r="U5" s="236">
        <f t="shared" si="2"/>
        <v>2148.9014400000001</v>
      </c>
      <c r="V5" s="236">
        <f t="shared" si="2"/>
        <v>2148.9014400000001</v>
      </c>
      <c r="W5" s="236">
        <f t="shared" si="2"/>
        <v>2148.9014400000001</v>
      </c>
      <c r="X5" s="236">
        <f t="shared" si="2"/>
        <v>2148.9014400000001</v>
      </c>
      <c r="Y5" s="236">
        <f t="shared" si="2"/>
        <v>2148.9014400000001</v>
      </c>
      <c r="Z5" s="236">
        <f t="shared" si="2"/>
        <v>25215.947521507358</v>
      </c>
    </row>
    <row r="6" spans="2:26" ht="20.149999999999999" customHeight="1">
      <c r="B6" s="252" t="s">
        <v>709</v>
      </c>
      <c r="C6" s="242" t="s">
        <v>527</v>
      </c>
      <c r="D6" s="235"/>
      <c r="E6" s="251"/>
      <c r="F6" s="236">
        <f>SUM(G6:Z6)</f>
        <v>115945.07200000001</v>
      </c>
      <c r="G6" s="309">
        <f>SUM(G7:G9)</f>
        <v>0</v>
      </c>
      <c r="H6" s="309">
        <f t="shared" ref="H6:P6" si="3">SUM(H7:H9)</f>
        <v>0</v>
      </c>
      <c r="I6" s="309">
        <f t="shared" si="3"/>
        <v>0</v>
      </c>
      <c r="J6" s="309">
        <f t="shared" si="3"/>
        <v>23989.014400000007</v>
      </c>
      <c r="K6" s="309">
        <f t="shared" si="3"/>
        <v>9345.6057600000004</v>
      </c>
      <c r="L6" s="309">
        <f t="shared" si="3"/>
        <v>9345.6057600000004</v>
      </c>
      <c r="M6" s="309">
        <f t="shared" si="3"/>
        <v>12943.957920000001</v>
      </c>
      <c r="N6" s="309">
        <f t="shared" si="3"/>
        <v>6946.7043200000007</v>
      </c>
      <c r="O6" s="309">
        <f t="shared" si="3"/>
        <v>4547.8028800000002</v>
      </c>
      <c r="P6" s="309">
        <f t="shared" si="3"/>
        <v>3348.3521600000004</v>
      </c>
      <c r="Q6" s="309">
        <f>SUM(Q7:Q9)+Q10</f>
        <v>2148.9014400000001</v>
      </c>
      <c r="R6" s="309">
        <f t="shared" ref="R6:Z6" si="4">SUM(R7:R9)+R10</f>
        <v>2148.9014400000001</v>
      </c>
      <c r="S6" s="309">
        <f t="shared" si="4"/>
        <v>2148.9014400000001</v>
      </c>
      <c r="T6" s="309">
        <f t="shared" si="4"/>
        <v>2148.9014400000001</v>
      </c>
      <c r="U6" s="309">
        <f t="shared" si="4"/>
        <v>2148.9014400000001</v>
      </c>
      <c r="V6" s="309">
        <f t="shared" si="4"/>
        <v>2148.9014400000001</v>
      </c>
      <c r="W6" s="309">
        <f t="shared" si="4"/>
        <v>2148.9014400000001</v>
      </c>
      <c r="X6" s="309">
        <f t="shared" si="4"/>
        <v>2148.9014400000001</v>
      </c>
      <c r="Y6" s="309">
        <f t="shared" si="4"/>
        <v>2148.9014400000001</v>
      </c>
      <c r="Z6" s="309">
        <f t="shared" si="4"/>
        <v>26137.915840000001</v>
      </c>
    </row>
    <row r="7" spans="2:26" ht="20.149999999999999" hidden="1" customHeight="1">
      <c r="B7" s="252"/>
      <c r="C7" s="242"/>
      <c r="D7" s="235"/>
      <c r="E7" s="251"/>
      <c r="F7" s="236"/>
      <c r="G7" s="236"/>
      <c r="H7" s="236"/>
      <c r="I7" s="236"/>
      <c r="J7" s="236"/>
      <c r="K7" s="236"/>
      <c r="L7" s="236"/>
      <c r="M7" s="236"/>
      <c r="N7" s="236"/>
      <c r="O7" s="236"/>
      <c r="P7" s="236"/>
      <c r="Q7" s="249"/>
      <c r="R7" s="249"/>
      <c r="S7" s="249"/>
      <c r="T7" s="249"/>
      <c r="U7" s="249"/>
      <c r="V7" s="249"/>
      <c r="W7" s="249"/>
      <c r="X7" s="249"/>
      <c r="Y7" s="249"/>
      <c r="Z7" s="249"/>
    </row>
    <row r="8" spans="2:26" ht="20.149999999999999" customHeight="1">
      <c r="B8" s="252" t="s">
        <v>710</v>
      </c>
      <c r="C8" s="242" t="s">
        <v>590</v>
      </c>
      <c r="D8" s="235"/>
      <c r="E8" s="251"/>
      <c r="F8" s="236">
        <f>SUM(G8:Z8)</f>
        <v>115945.07200000001</v>
      </c>
      <c r="G8" s="249">
        <f t="shared" ref="G8:Z8" si="5">SUM(G79:G81)</f>
        <v>0</v>
      </c>
      <c r="H8" s="249">
        <f t="shared" si="5"/>
        <v>0</v>
      </c>
      <c r="I8" s="249">
        <f t="shared" si="5"/>
        <v>0</v>
      </c>
      <c r="J8" s="249">
        <f t="shared" si="5"/>
        <v>23989.014400000007</v>
      </c>
      <c r="K8" s="249">
        <f t="shared" si="5"/>
        <v>9345.6057600000004</v>
      </c>
      <c r="L8" s="249">
        <f t="shared" si="5"/>
        <v>9345.6057600000004</v>
      </c>
      <c r="M8" s="249">
        <f t="shared" si="5"/>
        <v>12943.957920000001</v>
      </c>
      <c r="N8" s="249">
        <f t="shared" si="5"/>
        <v>6946.7043200000007</v>
      </c>
      <c r="O8" s="249">
        <f t="shared" si="5"/>
        <v>4547.8028800000002</v>
      </c>
      <c r="P8" s="249">
        <f t="shared" si="5"/>
        <v>3348.3521600000004</v>
      </c>
      <c r="Q8" s="249">
        <f t="shared" si="5"/>
        <v>2148.9014400000001</v>
      </c>
      <c r="R8" s="249">
        <f t="shared" si="5"/>
        <v>2148.9014400000001</v>
      </c>
      <c r="S8" s="249">
        <f t="shared" si="5"/>
        <v>2148.9014400000001</v>
      </c>
      <c r="T8" s="249">
        <f t="shared" si="5"/>
        <v>2148.9014400000001</v>
      </c>
      <c r="U8" s="249">
        <f t="shared" si="5"/>
        <v>2148.9014400000001</v>
      </c>
      <c r="V8" s="249">
        <f t="shared" si="5"/>
        <v>2148.9014400000001</v>
      </c>
      <c r="W8" s="249">
        <f t="shared" si="5"/>
        <v>2148.9014400000001</v>
      </c>
      <c r="X8" s="249">
        <f t="shared" si="5"/>
        <v>2148.9014400000001</v>
      </c>
      <c r="Y8" s="249">
        <f t="shared" si="5"/>
        <v>2148.9014400000001</v>
      </c>
      <c r="Z8" s="249">
        <f t="shared" si="5"/>
        <v>26137.915840000001</v>
      </c>
    </row>
    <row r="9" spans="2:26" ht="20.149999999999999" hidden="1" customHeight="1">
      <c r="B9" s="252"/>
      <c r="C9" s="242"/>
      <c r="D9" s="234"/>
      <c r="E9" s="251"/>
      <c r="F9" s="236">
        <f>SUM(G9:Z9)</f>
        <v>0</v>
      </c>
      <c r="G9" s="236"/>
      <c r="H9" s="236"/>
      <c r="I9" s="236"/>
      <c r="J9" s="236"/>
      <c r="K9" s="236"/>
      <c r="L9" s="236"/>
      <c r="M9" s="236"/>
      <c r="N9" s="236"/>
      <c r="O9" s="236"/>
      <c r="P9" s="236"/>
      <c r="Q9" s="249"/>
      <c r="R9" s="249"/>
      <c r="S9" s="249"/>
      <c r="T9" s="249"/>
      <c r="U9" s="249"/>
      <c r="V9" s="249"/>
      <c r="W9" s="249"/>
      <c r="X9" s="249"/>
      <c r="Y9" s="249"/>
      <c r="Z9" s="249"/>
    </row>
    <row r="10" spans="2:26" ht="20.149999999999999" customHeight="1">
      <c r="B10" s="252" t="s">
        <v>711</v>
      </c>
      <c r="C10" s="242" t="s">
        <v>684</v>
      </c>
      <c r="D10" s="234"/>
      <c r="E10" s="251"/>
      <c r="F10" s="236">
        <f>SUM(G10:Z10)</f>
        <v>0</v>
      </c>
      <c r="G10" s="236"/>
      <c r="H10" s="309"/>
      <c r="I10" s="309"/>
      <c r="J10" s="309"/>
      <c r="K10" s="309"/>
      <c r="L10" s="309"/>
      <c r="M10" s="309"/>
      <c r="N10" s="309"/>
      <c r="O10" s="309"/>
      <c r="P10" s="309"/>
      <c r="Q10" s="333"/>
      <c r="R10" s="333"/>
      <c r="S10" s="333"/>
      <c r="T10" s="333"/>
      <c r="U10" s="249"/>
      <c r="V10" s="249"/>
      <c r="W10" s="249"/>
      <c r="X10" s="249"/>
      <c r="Y10" s="249"/>
      <c r="Z10" s="249"/>
    </row>
    <row r="11" spans="2:26">
      <c r="B11" s="120"/>
      <c r="C11" s="385" t="s">
        <v>474</v>
      </c>
      <c r="D11" s="237"/>
      <c r="E11" s="237"/>
      <c r="F11" s="238"/>
      <c r="G11" s="238"/>
      <c r="H11" s="238"/>
      <c r="I11" s="238"/>
      <c r="J11" s="238"/>
      <c r="K11" s="238"/>
      <c r="L11" s="238"/>
      <c r="M11" s="238"/>
      <c r="N11" s="238"/>
      <c r="O11" s="238"/>
      <c r="P11" s="238"/>
    </row>
    <row r="12" spans="2:26">
      <c r="B12" s="253"/>
      <c r="C12" s="237"/>
      <c r="D12" s="237"/>
      <c r="E12" s="237"/>
      <c r="F12" s="238"/>
      <c r="G12" s="238"/>
      <c r="H12" s="238"/>
      <c r="I12" s="238"/>
      <c r="J12" s="238"/>
      <c r="K12" s="238"/>
      <c r="L12" s="238"/>
      <c r="M12" s="238"/>
      <c r="N12" s="238"/>
      <c r="O12" s="238"/>
      <c r="P12" s="238"/>
      <c r="Q12" s="238"/>
      <c r="R12" s="238"/>
      <c r="S12" s="238"/>
      <c r="T12" s="238"/>
      <c r="U12" s="238"/>
      <c r="V12" s="238"/>
    </row>
    <row r="13" spans="2:26" ht="23.5" thickBot="1">
      <c r="B13" s="752" t="s">
        <v>723</v>
      </c>
      <c r="C13" s="753"/>
      <c r="D13" s="753"/>
      <c r="E13" s="753"/>
      <c r="F13" s="751"/>
      <c r="G13" s="751"/>
      <c r="H13" s="751"/>
      <c r="I13" s="751"/>
      <c r="J13" s="751"/>
      <c r="K13" s="751"/>
      <c r="L13" s="751"/>
      <c r="M13" s="751"/>
      <c r="N13" s="751"/>
      <c r="O13" s="751"/>
      <c r="P13" s="751"/>
      <c r="Q13" s="751"/>
      <c r="R13" s="751"/>
      <c r="S13" s="751"/>
      <c r="T13" s="751"/>
    </row>
    <row r="14" spans="2:26" s="451" customFormat="1" ht="14.5">
      <c r="B14" s="252" t="s">
        <v>41</v>
      </c>
      <c r="C14" s="241" t="s">
        <v>379</v>
      </c>
      <c r="D14" s="229" t="s">
        <v>456</v>
      </c>
      <c r="E14" s="524" t="s">
        <v>92</v>
      </c>
      <c r="F14" s="531" t="s">
        <v>524</v>
      </c>
      <c r="G14" s="484" t="s">
        <v>477</v>
      </c>
      <c r="H14" s="484" t="s">
        <v>478</v>
      </c>
      <c r="I14" s="484" t="s">
        <v>479</v>
      </c>
      <c r="J14" s="484" t="s">
        <v>480</v>
      </c>
      <c r="K14" s="484" t="s">
        <v>483</v>
      </c>
      <c r="L14" s="484" t="s">
        <v>484</v>
      </c>
      <c r="M14" s="484" t="s">
        <v>485</v>
      </c>
      <c r="N14" s="484" t="s">
        <v>486</v>
      </c>
      <c r="O14" s="484" t="s">
        <v>487</v>
      </c>
      <c r="P14" s="484" t="s">
        <v>488</v>
      </c>
      <c r="Q14" s="484" t="s">
        <v>489</v>
      </c>
      <c r="R14" s="484" t="s">
        <v>490</v>
      </c>
      <c r="S14" s="484" t="s">
        <v>491</v>
      </c>
      <c r="T14" s="484" t="s">
        <v>492</v>
      </c>
      <c r="U14" s="484" t="s">
        <v>507</v>
      </c>
      <c r="V14" s="484" t="s">
        <v>508</v>
      </c>
      <c r="W14" s="484" t="s">
        <v>509</v>
      </c>
      <c r="X14" s="484" t="s">
        <v>510</v>
      </c>
      <c r="Y14" s="484" t="s">
        <v>511</v>
      </c>
      <c r="Z14" s="484" t="s">
        <v>512</v>
      </c>
    </row>
    <row r="15" spans="2:26" s="610" customFormat="1" ht="14.5">
      <c r="B15" s="252">
        <v>1</v>
      </c>
      <c r="C15" s="241" t="s">
        <v>577</v>
      </c>
      <c r="D15" s="229"/>
      <c r="E15" s="607">
        <f t="shared" ref="E15:E25" si="6">SUM(G15:AD15)</f>
        <v>115945.07200000001</v>
      </c>
      <c r="F15" s="608">
        <f t="shared" ref="F15:F31" si="7">SUM(G15:Z15)</f>
        <v>115945.07200000001</v>
      </c>
      <c r="G15" s="611">
        <f t="shared" ref="G15:Z15" si="8">G16+G19</f>
        <v>0</v>
      </c>
      <c r="H15" s="612">
        <f t="shared" si="8"/>
        <v>0</v>
      </c>
      <c r="I15" s="612">
        <f t="shared" si="8"/>
        <v>0</v>
      </c>
      <c r="J15" s="612">
        <f t="shared" si="8"/>
        <v>23989.014400000007</v>
      </c>
      <c r="K15" s="612">
        <f t="shared" si="8"/>
        <v>9345.6057600000004</v>
      </c>
      <c r="L15" s="612">
        <f t="shared" si="8"/>
        <v>9345.6057600000004</v>
      </c>
      <c r="M15" s="612">
        <f t="shared" si="8"/>
        <v>12943.957920000001</v>
      </c>
      <c r="N15" s="612">
        <f t="shared" si="8"/>
        <v>6946.7043200000007</v>
      </c>
      <c r="O15" s="612">
        <f t="shared" si="8"/>
        <v>4547.8028800000002</v>
      </c>
      <c r="P15" s="612">
        <f t="shared" si="8"/>
        <v>3348.3521600000004</v>
      </c>
      <c r="Q15" s="612">
        <f t="shared" si="8"/>
        <v>2148.9014400000001</v>
      </c>
      <c r="R15" s="612">
        <f t="shared" si="8"/>
        <v>2148.9014400000001</v>
      </c>
      <c r="S15" s="612">
        <f t="shared" si="8"/>
        <v>2148.9014400000001</v>
      </c>
      <c r="T15" s="612">
        <f t="shared" si="8"/>
        <v>2148.9014400000001</v>
      </c>
      <c r="U15" s="612">
        <f t="shared" si="8"/>
        <v>2148.9014400000001</v>
      </c>
      <c r="V15" s="612">
        <f t="shared" si="8"/>
        <v>2148.9014400000001</v>
      </c>
      <c r="W15" s="612">
        <f t="shared" si="8"/>
        <v>2148.9014400000001</v>
      </c>
      <c r="X15" s="612">
        <f t="shared" si="8"/>
        <v>2148.9014400000001</v>
      </c>
      <c r="Y15" s="612">
        <f t="shared" si="8"/>
        <v>2148.9014400000001</v>
      </c>
      <c r="Z15" s="612">
        <f t="shared" si="8"/>
        <v>26137.915840000001</v>
      </c>
    </row>
    <row r="16" spans="2:26" ht="14.5">
      <c r="B16" s="252">
        <v>1.1000000000000001</v>
      </c>
      <c r="C16" s="242" t="s">
        <v>533</v>
      </c>
      <c r="D16" s="235"/>
      <c r="E16" s="525">
        <f t="shared" si="6"/>
        <v>115945.07200000001</v>
      </c>
      <c r="F16" s="248">
        <f t="shared" si="7"/>
        <v>115945.07200000001</v>
      </c>
      <c r="G16" s="249">
        <f t="shared" ref="G16:Z16" si="9">G6</f>
        <v>0</v>
      </c>
      <c r="H16" s="249">
        <f t="shared" si="9"/>
        <v>0</v>
      </c>
      <c r="I16" s="249">
        <f t="shared" si="9"/>
        <v>0</v>
      </c>
      <c r="J16" s="249">
        <f t="shared" si="9"/>
        <v>23989.014400000007</v>
      </c>
      <c r="K16" s="249">
        <f t="shared" si="9"/>
        <v>9345.6057600000004</v>
      </c>
      <c r="L16" s="249">
        <f t="shared" si="9"/>
        <v>9345.6057600000004</v>
      </c>
      <c r="M16" s="249">
        <f t="shared" si="9"/>
        <v>12943.957920000001</v>
      </c>
      <c r="N16" s="249">
        <f t="shared" si="9"/>
        <v>6946.7043200000007</v>
      </c>
      <c r="O16" s="249">
        <f t="shared" si="9"/>
        <v>4547.8028800000002</v>
      </c>
      <c r="P16" s="249">
        <f t="shared" si="9"/>
        <v>3348.3521600000004</v>
      </c>
      <c r="Q16" s="249">
        <f t="shared" si="9"/>
        <v>2148.9014400000001</v>
      </c>
      <c r="R16" s="249">
        <f t="shared" si="9"/>
        <v>2148.9014400000001</v>
      </c>
      <c r="S16" s="249">
        <f t="shared" si="9"/>
        <v>2148.9014400000001</v>
      </c>
      <c r="T16" s="249">
        <f t="shared" si="9"/>
        <v>2148.9014400000001</v>
      </c>
      <c r="U16" s="249">
        <f t="shared" si="9"/>
        <v>2148.9014400000001</v>
      </c>
      <c r="V16" s="249">
        <f t="shared" si="9"/>
        <v>2148.9014400000001</v>
      </c>
      <c r="W16" s="249">
        <f t="shared" si="9"/>
        <v>2148.9014400000001</v>
      </c>
      <c r="X16" s="249">
        <f t="shared" si="9"/>
        <v>2148.9014400000001</v>
      </c>
      <c r="Y16" s="249">
        <f t="shared" si="9"/>
        <v>2148.9014400000001</v>
      </c>
      <c r="Z16" s="249">
        <f t="shared" si="9"/>
        <v>26137.915840000001</v>
      </c>
    </row>
    <row r="17" spans="2:26" ht="16.5" hidden="1" customHeight="1">
      <c r="B17" s="252" t="s">
        <v>457</v>
      </c>
      <c r="C17" s="242" t="s">
        <v>458</v>
      </c>
      <c r="D17" s="235"/>
      <c r="E17" s="525">
        <f t="shared" si="6"/>
        <v>0</v>
      </c>
      <c r="F17" s="248">
        <f t="shared" si="7"/>
        <v>0</v>
      </c>
      <c r="G17" s="527">
        <v>0</v>
      </c>
      <c r="H17" s="249">
        <v>0</v>
      </c>
      <c r="I17" s="249">
        <v>0</v>
      </c>
      <c r="J17" s="249"/>
      <c r="K17" s="249"/>
      <c r="L17" s="249"/>
      <c r="M17" s="249"/>
      <c r="N17" s="249"/>
      <c r="O17" s="249"/>
      <c r="P17" s="249">
        <v>0</v>
      </c>
      <c r="Q17" s="249">
        <v>0</v>
      </c>
      <c r="R17" s="249">
        <v>0</v>
      </c>
      <c r="S17" s="249">
        <v>0</v>
      </c>
      <c r="T17" s="249">
        <v>0</v>
      </c>
      <c r="U17" s="249"/>
      <c r="V17" s="249"/>
      <c r="W17" s="249">
        <v>0</v>
      </c>
      <c r="X17" s="249">
        <v>0</v>
      </c>
      <c r="Y17" s="249">
        <v>0</v>
      </c>
      <c r="Z17" s="249">
        <v>0</v>
      </c>
    </row>
    <row r="18" spans="2:26" ht="16.5" hidden="1" customHeight="1">
      <c r="B18" s="252" t="s">
        <v>459</v>
      </c>
      <c r="C18" s="242" t="s">
        <v>460</v>
      </c>
      <c r="D18" s="235"/>
      <c r="E18" s="525">
        <f t="shared" si="6"/>
        <v>0</v>
      </c>
      <c r="F18" s="248">
        <f t="shared" si="7"/>
        <v>0</v>
      </c>
      <c r="G18" s="527">
        <v>0</v>
      </c>
      <c r="H18" s="249">
        <v>0</v>
      </c>
      <c r="I18" s="249">
        <v>0</v>
      </c>
      <c r="J18" s="249"/>
      <c r="K18" s="249"/>
      <c r="L18" s="249"/>
      <c r="M18" s="249"/>
      <c r="N18" s="249"/>
      <c r="O18" s="249"/>
      <c r="P18" s="249">
        <v>0</v>
      </c>
      <c r="Q18" s="249">
        <v>0</v>
      </c>
      <c r="R18" s="249">
        <v>0</v>
      </c>
      <c r="S18" s="249">
        <v>0</v>
      </c>
      <c r="T18" s="249">
        <v>0</v>
      </c>
      <c r="U18" s="249"/>
      <c r="V18" s="249"/>
      <c r="W18" s="249">
        <v>0</v>
      </c>
      <c r="X18" s="249">
        <v>0</v>
      </c>
      <c r="Y18" s="249">
        <v>0</v>
      </c>
      <c r="Z18" s="249">
        <v>0</v>
      </c>
    </row>
    <row r="19" spans="2:26" ht="14.5">
      <c r="B19" s="252">
        <v>1.2</v>
      </c>
      <c r="C19" s="242" t="s">
        <v>684</v>
      </c>
      <c r="D19" s="235"/>
      <c r="E19" s="525">
        <f t="shared" si="6"/>
        <v>0</v>
      </c>
      <c r="F19" s="248">
        <f t="shared" si="7"/>
        <v>0</v>
      </c>
      <c r="G19" s="249">
        <f t="shared" ref="G19:Z19" si="10">G10</f>
        <v>0</v>
      </c>
      <c r="H19" s="249">
        <f t="shared" si="10"/>
        <v>0</v>
      </c>
      <c r="I19" s="249">
        <f t="shared" si="10"/>
        <v>0</v>
      </c>
      <c r="J19" s="249">
        <f t="shared" si="10"/>
        <v>0</v>
      </c>
      <c r="K19" s="249">
        <f t="shared" si="10"/>
        <v>0</v>
      </c>
      <c r="L19" s="249">
        <f t="shared" si="10"/>
        <v>0</v>
      </c>
      <c r="M19" s="249">
        <f t="shared" si="10"/>
        <v>0</v>
      </c>
      <c r="N19" s="249">
        <f t="shared" si="10"/>
        <v>0</v>
      </c>
      <c r="O19" s="249">
        <f t="shared" si="10"/>
        <v>0</v>
      </c>
      <c r="P19" s="249">
        <f t="shared" si="10"/>
        <v>0</v>
      </c>
      <c r="Q19" s="249">
        <f t="shared" si="10"/>
        <v>0</v>
      </c>
      <c r="R19" s="249">
        <f t="shared" si="10"/>
        <v>0</v>
      </c>
      <c r="S19" s="249">
        <f t="shared" si="10"/>
        <v>0</v>
      </c>
      <c r="T19" s="249">
        <f t="shared" si="10"/>
        <v>0</v>
      </c>
      <c r="U19" s="249">
        <f t="shared" si="10"/>
        <v>0</v>
      </c>
      <c r="V19" s="249">
        <f t="shared" si="10"/>
        <v>0</v>
      </c>
      <c r="W19" s="249">
        <f t="shared" si="10"/>
        <v>0</v>
      </c>
      <c r="X19" s="249">
        <f t="shared" si="10"/>
        <v>0</v>
      </c>
      <c r="Y19" s="249">
        <f t="shared" si="10"/>
        <v>0</v>
      </c>
      <c r="Z19" s="249">
        <f t="shared" si="10"/>
        <v>0</v>
      </c>
    </row>
    <row r="20" spans="2:26" s="610" customFormat="1" ht="14.5">
      <c r="B20" s="252">
        <v>2</v>
      </c>
      <c r="C20" s="241" t="s">
        <v>578</v>
      </c>
      <c r="D20" s="229"/>
      <c r="E20" s="607">
        <f t="shared" si="6"/>
        <v>9573.4463119266075</v>
      </c>
      <c r="F20" s="608">
        <f t="shared" si="7"/>
        <v>9573.4463119266075</v>
      </c>
      <c r="G20" s="308">
        <f t="shared" ref="G20:Z20" si="11">G21+G24</f>
        <v>0</v>
      </c>
      <c r="H20" s="308">
        <f t="shared" si="11"/>
        <v>0</v>
      </c>
      <c r="I20" s="308">
        <f t="shared" si="11"/>
        <v>0</v>
      </c>
      <c r="J20" s="308">
        <f t="shared" si="11"/>
        <v>1980.7443082568811</v>
      </c>
      <c r="K20" s="308">
        <f t="shared" si="11"/>
        <v>771.65552146788991</v>
      </c>
      <c r="L20" s="308">
        <f t="shared" si="11"/>
        <v>771.65552146788991</v>
      </c>
      <c r="M20" s="308">
        <f t="shared" si="11"/>
        <v>1068.767167706422</v>
      </c>
      <c r="N20" s="308">
        <f t="shared" si="11"/>
        <v>573.58109064220184</v>
      </c>
      <c r="O20" s="308">
        <f t="shared" si="11"/>
        <v>375.50665981651372</v>
      </c>
      <c r="P20" s="308">
        <f t="shared" si="11"/>
        <v>276.46944440366974</v>
      </c>
      <c r="Q20" s="308">
        <f t="shared" si="11"/>
        <v>177.43222899082568</v>
      </c>
      <c r="R20" s="308">
        <f t="shared" si="11"/>
        <v>177.43222899082568</v>
      </c>
      <c r="S20" s="308">
        <f t="shared" si="11"/>
        <v>177.43222899082568</v>
      </c>
      <c r="T20" s="308">
        <f t="shared" si="11"/>
        <v>177.43222899082568</v>
      </c>
      <c r="U20" s="308">
        <f t="shared" si="11"/>
        <v>177.43222899082568</v>
      </c>
      <c r="V20" s="308">
        <f t="shared" si="11"/>
        <v>177.43222899082568</v>
      </c>
      <c r="W20" s="308">
        <f t="shared" si="11"/>
        <v>177.43222899082568</v>
      </c>
      <c r="X20" s="308">
        <f t="shared" si="11"/>
        <v>177.43222899082568</v>
      </c>
      <c r="Y20" s="308">
        <f t="shared" si="11"/>
        <v>177.43222899082568</v>
      </c>
      <c r="Z20" s="308">
        <f t="shared" si="11"/>
        <v>2158.1765372477062</v>
      </c>
    </row>
    <row r="21" spans="2:26" ht="14.5">
      <c r="B21" s="252">
        <v>2.1</v>
      </c>
      <c r="C21" s="242" t="s">
        <v>533</v>
      </c>
      <c r="D21" s="235">
        <v>0.09</v>
      </c>
      <c r="E21" s="525">
        <f t="shared" si="6"/>
        <v>9573.4463119266075</v>
      </c>
      <c r="F21" s="248">
        <f t="shared" si="7"/>
        <v>9573.4463119266075</v>
      </c>
      <c r="G21" s="249">
        <f t="shared" ref="G21:R21" si="12">G16/(1+$D$21)*$D$21</f>
        <v>0</v>
      </c>
      <c r="H21" s="249">
        <f t="shared" si="12"/>
        <v>0</v>
      </c>
      <c r="I21" s="249">
        <f t="shared" si="12"/>
        <v>0</v>
      </c>
      <c r="J21" s="249">
        <f t="shared" si="12"/>
        <v>1980.7443082568811</v>
      </c>
      <c r="K21" s="249">
        <f t="shared" si="12"/>
        <v>771.65552146788991</v>
      </c>
      <c r="L21" s="249">
        <f t="shared" si="12"/>
        <v>771.65552146788991</v>
      </c>
      <c r="M21" s="249">
        <f t="shared" si="12"/>
        <v>1068.767167706422</v>
      </c>
      <c r="N21" s="249">
        <f t="shared" si="12"/>
        <v>573.58109064220184</v>
      </c>
      <c r="O21" s="249">
        <f t="shared" si="12"/>
        <v>375.50665981651372</v>
      </c>
      <c r="P21" s="249">
        <f t="shared" si="12"/>
        <v>276.46944440366974</v>
      </c>
      <c r="Q21" s="249">
        <f t="shared" si="12"/>
        <v>177.43222899082568</v>
      </c>
      <c r="R21" s="249">
        <f t="shared" si="12"/>
        <v>177.43222899082568</v>
      </c>
      <c r="S21" s="249">
        <f t="shared" ref="S21:Z21" si="13">S16/(1+$D$21)*$D$21</f>
        <v>177.43222899082568</v>
      </c>
      <c r="T21" s="249">
        <f t="shared" si="13"/>
        <v>177.43222899082568</v>
      </c>
      <c r="U21" s="249">
        <f t="shared" si="13"/>
        <v>177.43222899082568</v>
      </c>
      <c r="V21" s="249">
        <f t="shared" si="13"/>
        <v>177.43222899082568</v>
      </c>
      <c r="W21" s="249">
        <f t="shared" si="13"/>
        <v>177.43222899082568</v>
      </c>
      <c r="X21" s="249">
        <f t="shared" si="13"/>
        <v>177.43222899082568</v>
      </c>
      <c r="Y21" s="249">
        <f t="shared" si="13"/>
        <v>177.43222899082568</v>
      </c>
      <c r="Z21" s="249">
        <f t="shared" si="13"/>
        <v>2158.1765372477062</v>
      </c>
    </row>
    <row r="22" spans="2:26" ht="16.5" hidden="1" customHeight="1">
      <c r="B22" s="252" t="s">
        <v>461</v>
      </c>
      <c r="C22" s="242" t="s">
        <v>458</v>
      </c>
      <c r="D22" s="235"/>
      <c r="E22" s="525" t="e">
        <f t="shared" si="6"/>
        <v>#REF!</v>
      </c>
      <c r="F22" s="248" t="e">
        <f t="shared" si="7"/>
        <v>#REF!</v>
      </c>
      <c r="G22" s="527" t="e">
        <f>G17/(1+#REF!)*#REF!</f>
        <v>#REF!</v>
      </c>
      <c r="H22" s="249" t="e">
        <f>H17/(1+#REF!)*#REF!</f>
        <v>#REF!</v>
      </c>
      <c r="I22" s="249" t="e">
        <f>I17/(1+#REF!)*#REF!</f>
        <v>#REF!</v>
      </c>
      <c r="J22" s="249"/>
      <c r="K22" s="249"/>
      <c r="L22" s="249"/>
      <c r="M22" s="249"/>
      <c r="N22" s="249"/>
      <c r="O22" s="249"/>
      <c r="P22" s="249" t="e">
        <f>P17/(1+#REF!)*#REF!</f>
        <v>#REF!</v>
      </c>
      <c r="Q22" s="249" t="e">
        <f>Q17/(1+#REF!)*#REF!</f>
        <v>#REF!</v>
      </c>
      <c r="R22" s="249" t="e">
        <f>R17/(1+#REF!)*#REF!</f>
        <v>#REF!</v>
      </c>
      <c r="S22" s="249" t="e">
        <f>S17/(1+#REF!)*#REF!</f>
        <v>#REF!</v>
      </c>
      <c r="T22" s="249" t="e">
        <f>T17/(1+#REF!)*#REF!</f>
        <v>#REF!</v>
      </c>
      <c r="U22" s="249"/>
      <c r="V22" s="249"/>
      <c r="W22" s="249" t="e">
        <f>W17/(1+#REF!)*#REF!</f>
        <v>#REF!</v>
      </c>
      <c r="X22" s="249" t="e">
        <f>X17/(1+#REF!)*#REF!</f>
        <v>#REF!</v>
      </c>
      <c r="Y22" s="249" t="e">
        <f>Y17/(1+#REF!)*#REF!</f>
        <v>#REF!</v>
      </c>
      <c r="Z22" s="249" t="e">
        <f>Z17/(1+#REF!)*#REF!</f>
        <v>#REF!</v>
      </c>
    </row>
    <row r="23" spans="2:26" ht="16.5" hidden="1" customHeight="1">
      <c r="B23" s="252" t="s">
        <v>462</v>
      </c>
      <c r="C23" s="242" t="s">
        <v>460</v>
      </c>
      <c r="D23" s="235"/>
      <c r="E23" s="525" t="e">
        <f t="shared" si="6"/>
        <v>#REF!</v>
      </c>
      <c r="F23" s="248" t="e">
        <f t="shared" si="7"/>
        <v>#REF!</v>
      </c>
      <c r="G23" s="527" t="e">
        <f>G18/(1+#REF!)*#REF!</f>
        <v>#REF!</v>
      </c>
      <c r="H23" s="249" t="e">
        <f>H18/(1+#REF!)*#REF!</f>
        <v>#REF!</v>
      </c>
      <c r="I23" s="249" t="e">
        <f>I18/(1+#REF!)*#REF!</f>
        <v>#REF!</v>
      </c>
      <c r="J23" s="249"/>
      <c r="K23" s="249"/>
      <c r="L23" s="249"/>
      <c r="M23" s="249"/>
      <c r="N23" s="249"/>
      <c r="O23" s="249"/>
      <c r="P23" s="249" t="e">
        <f>P18/(1+#REF!)*#REF!</f>
        <v>#REF!</v>
      </c>
      <c r="Q23" s="249" t="e">
        <f>Q18/(1+#REF!)*#REF!</f>
        <v>#REF!</v>
      </c>
      <c r="R23" s="249" t="e">
        <f>R18/(1+#REF!)*#REF!</f>
        <v>#REF!</v>
      </c>
      <c r="S23" s="249" t="e">
        <f>S18/(1+#REF!)*#REF!</f>
        <v>#REF!</v>
      </c>
      <c r="T23" s="249" t="e">
        <f>T18/(1+#REF!)*#REF!</f>
        <v>#REF!</v>
      </c>
      <c r="U23" s="249"/>
      <c r="V23" s="249"/>
      <c r="W23" s="249" t="e">
        <f>W18/(1+#REF!)*#REF!</f>
        <v>#REF!</v>
      </c>
      <c r="X23" s="249" t="e">
        <f>X18/(1+#REF!)*#REF!</f>
        <v>#REF!</v>
      </c>
      <c r="Y23" s="249" t="e">
        <f>Y18/(1+#REF!)*#REF!</f>
        <v>#REF!</v>
      </c>
      <c r="Z23" s="249" t="e">
        <f>Z18/(1+#REF!)*#REF!</f>
        <v>#REF!</v>
      </c>
    </row>
    <row r="24" spans="2:26" ht="14.5">
      <c r="B24" s="252">
        <v>2.2000000000000002</v>
      </c>
      <c r="C24" s="242" t="s">
        <v>684</v>
      </c>
      <c r="D24" s="235"/>
      <c r="E24" s="525">
        <f t="shared" si="6"/>
        <v>0</v>
      </c>
      <c r="F24" s="248">
        <f t="shared" si="7"/>
        <v>0</v>
      </c>
      <c r="G24" s="249">
        <f>G19/(1+$D$24)*$D$24</f>
        <v>0</v>
      </c>
      <c r="H24" s="249">
        <f>H19/(1+$D$24)*$D$24</f>
        <v>0</v>
      </c>
      <c r="I24" s="249">
        <f t="shared" ref="I24:Z24" si="14">I19/(1+$D$24)*$D$24</f>
        <v>0</v>
      </c>
      <c r="J24" s="249">
        <f t="shared" si="14"/>
        <v>0</v>
      </c>
      <c r="K24" s="249">
        <f t="shared" si="14"/>
        <v>0</v>
      </c>
      <c r="L24" s="249">
        <f t="shared" si="14"/>
        <v>0</v>
      </c>
      <c r="M24" s="249">
        <f t="shared" si="14"/>
        <v>0</v>
      </c>
      <c r="N24" s="249">
        <f t="shared" si="14"/>
        <v>0</v>
      </c>
      <c r="O24" s="249">
        <f t="shared" si="14"/>
        <v>0</v>
      </c>
      <c r="P24" s="249">
        <f t="shared" si="14"/>
        <v>0</v>
      </c>
      <c r="Q24" s="249">
        <f t="shared" si="14"/>
        <v>0</v>
      </c>
      <c r="R24" s="249">
        <f t="shared" si="14"/>
        <v>0</v>
      </c>
      <c r="S24" s="249">
        <f t="shared" si="14"/>
        <v>0</v>
      </c>
      <c r="T24" s="249">
        <f t="shared" si="14"/>
        <v>0</v>
      </c>
      <c r="U24" s="249">
        <f t="shared" si="14"/>
        <v>0</v>
      </c>
      <c r="V24" s="249">
        <f t="shared" si="14"/>
        <v>0</v>
      </c>
      <c r="W24" s="249">
        <f t="shared" si="14"/>
        <v>0</v>
      </c>
      <c r="X24" s="249">
        <f t="shared" si="14"/>
        <v>0</v>
      </c>
      <c r="Y24" s="249">
        <f t="shared" si="14"/>
        <v>0</v>
      </c>
      <c r="Z24" s="249">
        <f t="shared" si="14"/>
        <v>0</v>
      </c>
    </row>
    <row r="25" spans="2:26" s="610" customFormat="1" ht="14.5">
      <c r="B25" s="252">
        <v>3</v>
      </c>
      <c r="C25" s="241" t="s">
        <v>579</v>
      </c>
      <c r="D25" s="229"/>
      <c r="E25" s="607">
        <f t="shared" si="6"/>
        <v>8735.2932951151106</v>
      </c>
      <c r="F25" s="608">
        <f t="shared" si="7"/>
        <v>8735.2932951151106</v>
      </c>
      <c r="G25" s="609">
        <f>G26+G27+G28+G29</f>
        <v>4940.2721559633028</v>
      </c>
      <c r="H25" s="308">
        <f t="shared" ref="H25:Z25" si="15">H26+H27+H28+H29</f>
        <v>721.94119266055054</v>
      </c>
      <c r="I25" s="308">
        <f t="shared" si="15"/>
        <v>360.97059633027527</v>
      </c>
      <c r="J25" s="308">
        <f t="shared" si="15"/>
        <v>360.97059633027527</v>
      </c>
      <c r="K25" s="308">
        <f t="shared" si="15"/>
        <v>360.97059633027527</v>
      </c>
      <c r="L25" s="308">
        <f t="shared" si="15"/>
        <v>360.97059633027527</v>
      </c>
      <c r="M25" s="308">
        <f t="shared" si="15"/>
        <v>360.97059633027527</v>
      </c>
      <c r="N25" s="308">
        <f t="shared" si="15"/>
        <v>360.97059633027527</v>
      </c>
      <c r="O25" s="308">
        <f t="shared" si="15"/>
        <v>360.97059633027527</v>
      </c>
      <c r="P25" s="308">
        <f t="shared" si="15"/>
        <v>360.97059633027527</v>
      </c>
      <c r="Q25" s="308">
        <f t="shared" si="15"/>
        <v>11.742173886792452</v>
      </c>
      <c r="R25" s="308">
        <f t="shared" si="15"/>
        <v>11.742173886792452</v>
      </c>
      <c r="S25" s="308">
        <f t="shared" si="15"/>
        <v>11.742173886792452</v>
      </c>
      <c r="T25" s="308">
        <f t="shared" si="15"/>
        <v>11.742173886792452</v>
      </c>
      <c r="U25" s="308">
        <f t="shared" si="15"/>
        <v>11.742173886792452</v>
      </c>
      <c r="V25" s="308">
        <f t="shared" si="15"/>
        <v>11.742173886792452</v>
      </c>
      <c r="W25" s="308">
        <f t="shared" si="15"/>
        <v>11.742173886792452</v>
      </c>
      <c r="X25" s="308">
        <f t="shared" si="15"/>
        <v>11.742173886792452</v>
      </c>
      <c r="Y25" s="308">
        <f t="shared" si="15"/>
        <v>11.742173886792452</v>
      </c>
      <c r="Z25" s="308">
        <f t="shared" si="15"/>
        <v>79.635610867924527</v>
      </c>
    </row>
    <row r="26" spans="2:26" ht="14.5">
      <c r="B26" s="252">
        <v>3.1</v>
      </c>
      <c r="C26" s="242" t="s">
        <v>463</v>
      </c>
      <c r="D26" s="235">
        <v>0.09</v>
      </c>
      <c r="E26" s="525">
        <f>SUM(G26:Q26)</f>
        <v>3352.0912844036698</v>
      </c>
      <c r="F26" s="248">
        <f t="shared" si="7"/>
        <v>3352.0912844036698</v>
      </c>
      <c r="G26" s="527">
        <f>'附表2 投资计划与资金筹措平衡表 '!D6*'3.1销售情况分析'!$D$26/(1+'3.1销售情况分析'!$D$26)</f>
        <v>0</v>
      </c>
      <c r="H26" s="249">
        <f>'附表2 投资计划与资金筹措平衡表 '!E6*'3.1销售情况分析'!$D$26/(1+'3.1销售情况分析'!$D$26)</f>
        <v>670.41825688073402</v>
      </c>
      <c r="I26" s="249">
        <f>'附表2 投资计划与资金筹措平衡表 '!F6*'3.1销售情况分析'!$D$26/(1+'3.1销售情况分析'!$D$26)</f>
        <v>335.20912844036701</v>
      </c>
      <c r="J26" s="249">
        <f>'附表2 投资计划与资金筹措平衡表 '!G6*'3.1销售情况分析'!$D$26/(1+'3.1销售情况分析'!$D$26)</f>
        <v>335.20912844036701</v>
      </c>
      <c r="K26" s="249">
        <f>'附表2 投资计划与资金筹措平衡表 '!H6*'3.1销售情况分析'!$D$26/(1+'3.1销售情况分析'!$D$26)</f>
        <v>335.20912844036701</v>
      </c>
      <c r="L26" s="249">
        <f>'附表2 投资计划与资金筹措平衡表 '!I6*'3.1销售情况分析'!$D$26/(1+'3.1销售情况分析'!$D$26)</f>
        <v>335.20912844036701</v>
      </c>
      <c r="M26" s="249">
        <f>'附表2 投资计划与资金筹措平衡表 '!J6*'3.1销售情况分析'!$D$26/(1+'3.1销售情况分析'!$D$26)</f>
        <v>335.20912844036701</v>
      </c>
      <c r="N26" s="249">
        <f>'附表2 投资计划与资金筹措平衡表 '!K6*'3.1销售情况分析'!$D$26/(1+'3.1销售情况分析'!$D$26)</f>
        <v>335.20912844036701</v>
      </c>
      <c r="O26" s="249">
        <f>'附表2 投资计划与资金筹措平衡表 '!L6*'3.1销售情况分析'!$D$26/(1+'3.1销售情况分析'!$D$26)</f>
        <v>335.20912844036701</v>
      </c>
      <c r="P26" s="249">
        <f>'附表2 投资计划与资金筹措平衡表 '!M6*'3.1销售情况分析'!$D$26/(1+'3.1销售情况分析'!$D$26)</f>
        <v>335.20912844036701</v>
      </c>
      <c r="Q26" s="249"/>
      <c r="R26" s="249"/>
      <c r="S26" s="249"/>
      <c r="T26" s="249"/>
      <c r="U26" s="249"/>
      <c r="V26" s="249"/>
      <c r="W26" s="249"/>
      <c r="X26" s="249"/>
      <c r="Y26" s="249"/>
      <c r="Z26" s="249"/>
    </row>
    <row r="27" spans="2:26" ht="14.5">
      <c r="B27" s="252">
        <v>3.2</v>
      </c>
      <c r="C27" s="242" t="s">
        <v>464</v>
      </c>
      <c r="D27" s="235">
        <v>0.09</v>
      </c>
      <c r="E27" s="525">
        <f>SUM(G27:Q27)</f>
        <v>5197.8868348623837</v>
      </c>
      <c r="F27" s="248">
        <f t="shared" si="7"/>
        <v>5197.8868348623837</v>
      </c>
      <c r="G27" s="527">
        <f>'附表2 投资计划与资金筹措平衡表 '!D7*'3.1销售情况分析'!$D$27/(1+'3.1销售情况分析'!$D$27)</f>
        <v>4940.2721559633028</v>
      </c>
      <c r="H27" s="527">
        <f>'附表2 投资计划与资金筹措平衡表 '!E7*'3.1销售情况分析'!$D$27/(1+'3.1销售情况分析'!$D$27)</f>
        <v>51.522935779816507</v>
      </c>
      <c r="I27" s="527">
        <f>'附表2 投资计划与资金筹措平衡表 '!F7*'3.1销售情况分析'!$D$27/(1+'3.1销售情况分析'!$D$27)</f>
        <v>25.761467889908253</v>
      </c>
      <c r="J27" s="527">
        <f>'附表2 投资计划与资金筹措平衡表 '!G7*'3.1销售情况分析'!$D$27/(1+'3.1销售情况分析'!$D$27)</f>
        <v>25.761467889908253</v>
      </c>
      <c r="K27" s="527">
        <f>'附表2 投资计划与资金筹措平衡表 '!H7*'3.1销售情况分析'!$D$27/(1+'3.1销售情况分析'!$D$27)</f>
        <v>25.761467889908253</v>
      </c>
      <c r="L27" s="527">
        <f>'附表2 投资计划与资金筹措平衡表 '!I7*'3.1销售情况分析'!$D$27/(1+'3.1销售情况分析'!$D$27)</f>
        <v>25.761467889908253</v>
      </c>
      <c r="M27" s="527">
        <f>'附表2 投资计划与资金筹措平衡表 '!J7*'3.1销售情况分析'!$D$27/(1+'3.1销售情况分析'!$D$27)</f>
        <v>25.761467889908253</v>
      </c>
      <c r="N27" s="527">
        <f>'附表2 投资计划与资金筹措平衡表 '!K7*'3.1销售情况分析'!$D$27/(1+'3.1销售情况分析'!$D$27)</f>
        <v>25.761467889908253</v>
      </c>
      <c r="O27" s="527">
        <f>'附表2 投资计划与资金筹措平衡表 '!L7*'3.1销售情况分析'!$D$27/(1+'3.1销售情况分析'!$D$27)</f>
        <v>25.761467889908253</v>
      </c>
      <c r="P27" s="527">
        <f>'附表2 投资计划与资金筹措平衡表 '!M7*'3.1销售情况分析'!$D$27/(1+'3.1销售情况分析'!$D$27)</f>
        <v>25.761467889908253</v>
      </c>
      <c r="Q27" s="527"/>
      <c r="R27" s="527"/>
      <c r="S27" s="527"/>
      <c r="T27" s="527">
        <f>'附表2 投资计划与资金筹措平衡表 '!Q7*'3.1销售情况分析'!$D$27/(1+'3.1销售情况分析'!$D$27)</f>
        <v>0</v>
      </c>
      <c r="U27" s="527">
        <f>'附表2 投资计划与资金筹措平衡表 '!X7*'3.1销售情况分析'!$D$27/(1+'3.1销售情况分析'!$D$27)</f>
        <v>0</v>
      </c>
      <c r="V27" s="527">
        <f>'附表2 投资计划与资金筹措平衡表 '!Y7*'3.1销售情况分析'!$D$27/(1+'3.1销售情况分析'!$D$27)</f>
        <v>0</v>
      </c>
      <c r="W27" s="527">
        <f>'附表2 投资计划与资金筹措平衡表 '!Z7*'3.1销售情况分析'!$D$27/(1+'3.1销售情况分析'!$D$27)</f>
        <v>0</v>
      </c>
      <c r="X27" s="527">
        <f>'附表2 投资计划与资金筹措平衡表 '!AA7*'3.1销售情况分析'!$D$27/(1+'3.1销售情况分析'!$D$27)</f>
        <v>0</v>
      </c>
      <c r="Y27" s="527">
        <f>'附表2 投资计划与资金筹措平衡表 '!AB7*'3.1销售情况分析'!$D$27/(1+'3.1销售情况分析'!$D$27)</f>
        <v>0</v>
      </c>
      <c r="Z27" s="527">
        <f>'附表2 投资计划与资金筹措平衡表 '!AC7*'3.1销售情况分析'!$D$27/(1+'3.1销售情况分析'!$D$27)</f>
        <v>0</v>
      </c>
    </row>
    <row r="28" spans="2:26" ht="14.5">
      <c r="B28" s="252">
        <v>3.3</v>
      </c>
      <c r="C28" s="242" t="s">
        <v>580</v>
      </c>
      <c r="D28" s="235">
        <v>0.06</v>
      </c>
      <c r="E28" s="525">
        <f>SUM(G28:Q28)</f>
        <v>0</v>
      </c>
      <c r="F28" s="248">
        <f t="shared" si="7"/>
        <v>0</v>
      </c>
      <c r="G28" s="527"/>
      <c r="H28" s="249"/>
      <c r="I28" s="249"/>
      <c r="J28" s="249"/>
      <c r="K28" s="249"/>
      <c r="L28" s="249"/>
      <c r="M28" s="249"/>
      <c r="N28" s="249"/>
      <c r="O28" s="249"/>
      <c r="P28" s="249"/>
      <c r="Q28" s="249"/>
      <c r="R28" s="249"/>
      <c r="S28" s="249"/>
      <c r="T28" s="249"/>
      <c r="U28" s="249"/>
      <c r="V28" s="249"/>
      <c r="W28" s="249"/>
      <c r="X28" s="249"/>
      <c r="Y28" s="249"/>
      <c r="Z28" s="249"/>
    </row>
    <row r="29" spans="2:26" ht="14.5">
      <c r="B29" s="252">
        <v>3.4</v>
      </c>
      <c r="C29" s="242" t="s">
        <v>465</v>
      </c>
      <c r="D29" s="235">
        <v>0.06</v>
      </c>
      <c r="E29" s="525">
        <f t="shared" ref="E29:E36" si="16">SUM(G29:AD29)</f>
        <v>185.31517584905663</v>
      </c>
      <c r="F29" s="248">
        <f t="shared" si="7"/>
        <v>185.31517584905663</v>
      </c>
      <c r="G29" s="527"/>
      <c r="H29" s="249"/>
      <c r="I29" s="249"/>
      <c r="J29" s="249"/>
      <c r="K29" s="249"/>
      <c r="L29" s="249"/>
      <c r="M29" s="249"/>
      <c r="N29" s="249"/>
      <c r="O29" s="249"/>
      <c r="P29" s="249"/>
      <c r="Q29" s="249">
        <f>'5.1运营成本明细表'!Q3/(1+'3.1销售情况分析'!$D$29)*'3.1销售情况分析'!$D$29</f>
        <v>11.742173886792452</v>
      </c>
      <c r="R29" s="249">
        <f>'5.1运营成本明细表'!R3/(1+'3.1销售情况分析'!$D$29)*'3.1销售情况分析'!$D$29</f>
        <v>11.742173886792452</v>
      </c>
      <c r="S29" s="249">
        <f>'5.1运营成本明细表'!S3/(1+'3.1销售情况分析'!$D$29)*'3.1销售情况分析'!$D$29</f>
        <v>11.742173886792452</v>
      </c>
      <c r="T29" s="249">
        <f>'5.1运营成本明细表'!T3/(1+'3.1销售情况分析'!$D$29)*'3.1销售情况分析'!$D$29</f>
        <v>11.742173886792452</v>
      </c>
      <c r="U29" s="249">
        <f>'5.1运营成本明细表'!U3/(1+'3.1销售情况分析'!$D$29)*'3.1销售情况分析'!$D$29</f>
        <v>11.742173886792452</v>
      </c>
      <c r="V29" s="249">
        <f>'5.1运营成本明细表'!V3/(1+'3.1销售情况分析'!$D$29)*'3.1销售情况分析'!$D$29</f>
        <v>11.742173886792452</v>
      </c>
      <c r="W29" s="249">
        <f>'5.1运营成本明细表'!W3/(1+'3.1销售情况分析'!$D$29)*'3.1销售情况分析'!$D$29</f>
        <v>11.742173886792452</v>
      </c>
      <c r="X29" s="249">
        <f>'5.1运营成本明细表'!X3/(1+'3.1销售情况分析'!$D$29)*'3.1销售情况分析'!$D$29</f>
        <v>11.742173886792452</v>
      </c>
      <c r="Y29" s="249">
        <f>'5.1运营成本明细表'!Y3/(1+'3.1销售情况分析'!$D$29)*'3.1销售情况分析'!$D$29</f>
        <v>11.742173886792452</v>
      </c>
      <c r="Z29" s="249">
        <f>'5.1运营成本明细表'!Z3/(1+'3.1销售情况分析'!$D$29)*'3.1销售情况分析'!$D$29</f>
        <v>79.635610867924527</v>
      </c>
    </row>
    <row r="30" spans="2:26" s="610" customFormat="1" ht="14.5">
      <c r="B30" s="252">
        <v>4</v>
      </c>
      <c r="C30" s="241" t="s">
        <v>581</v>
      </c>
      <c r="D30" s="229"/>
      <c r="E30" s="607">
        <f t="shared" si="16"/>
        <v>6107.6850968807339</v>
      </c>
      <c r="F30" s="608">
        <f t="shared" si="7"/>
        <v>6107.6850968807339</v>
      </c>
      <c r="G30" s="609">
        <f t="shared" ref="G30:Z30" si="17">IF(G25&gt;G20,G25-G20,0)</f>
        <v>4940.2721559633028</v>
      </c>
      <c r="H30" s="308">
        <f t="shared" si="17"/>
        <v>721.94119266055054</v>
      </c>
      <c r="I30" s="308">
        <f t="shared" si="17"/>
        <v>360.97059633027527</v>
      </c>
      <c r="J30" s="308">
        <f t="shared" si="17"/>
        <v>0</v>
      </c>
      <c r="K30" s="308">
        <f t="shared" si="17"/>
        <v>0</v>
      </c>
      <c r="L30" s="308">
        <f t="shared" si="17"/>
        <v>0</v>
      </c>
      <c r="M30" s="308">
        <f t="shared" si="17"/>
        <v>0</v>
      </c>
      <c r="N30" s="308">
        <f t="shared" si="17"/>
        <v>0</v>
      </c>
      <c r="O30" s="308">
        <f t="shared" si="17"/>
        <v>0</v>
      </c>
      <c r="P30" s="308">
        <f t="shared" si="17"/>
        <v>84.50115192660553</v>
      </c>
      <c r="Q30" s="308">
        <f t="shared" si="17"/>
        <v>0</v>
      </c>
      <c r="R30" s="308">
        <f t="shared" si="17"/>
        <v>0</v>
      </c>
      <c r="S30" s="308">
        <f t="shared" si="17"/>
        <v>0</v>
      </c>
      <c r="T30" s="308">
        <f t="shared" si="17"/>
        <v>0</v>
      </c>
      <c r="U30" s="308">
        <f t="shared" si="17"/>
        <v>0</v>
      </c>
      <c r="V30" s="308">
        <f t="shared" si="17"/>
        <v>0</v>
      </c>
      <c r="W30" s="308">
        <f t="shared" si="17"/>
        <v>0</v>
      </c>
      <c r="X30" s="308">
        <f t="shared" si="17"/>
        <v>0</v>
      </c>
      <c r="Y30" s="308">
        <f t="shared" si="17"/>
        <v>0</v>
      </c>
      <c r="Z30" s="308">
        <f t="shared" si="17"/>
        <v>0</v>
      </c>
    </row>
    <row r="31" spans="2:26" s="610" customFormat="1" ht="26">
      <c r="B31" s="252">
        <v>5</v>
      </c>
      <c r="C31" s="241" t="s">
        <v>582</v>
      </c>
      <c r="D31" s="229"/>
      <c r="E31" s="607">
        <f t="shared" si="16"/>
        <v>6107.6850968807348</v>
      </c>
      <c r="F31" s="608">
        <f t="shared" si="7"/>
        <v>6107.6850968807348</v>
      </c>
      <c r="G31" s="609"/>
      <c r="H31" s="308"/>
      <c r="I31" s="308"/>
      <c r="J31" s="308">
        <f t="shared" ref="J31" si="18">IF(AND(I32&gt;0,J30=0),IF(I32&gt;ABS(J20-J25),ABS(J25-J20),I32),0)</f>
        <v>1619.7737119266058</v>
      </c>
      <c r="K31" s="308">
        <f t="shared" ref="K31" si="19">IF(AND(J32&gt;0,K30=0),IF(J32&gt;ABS(K20-K25),ABS(K25-K20),J32),0)</f>
        <v>410.68492513761464</v>
      </c>
      <c r="L31" s="308">
        <f t="shared" ref="L31" si="20">IF(AND(K32&gt;0,L30=0),IF(K32&gt;ABS(L20-L25),ABS(L25-L20),K32),0)</f>
        <v>410.68492513761464</v>
      </c>
      <c r="M31" s="308">
        <f t="shared" ref="M31" si="21">IF(AND(L32&gt;0,M30=0),IF(L32&gt;ABS(M20-M25),ABS(M25-M20),L32),0)</f>
        <v>707.79657137614674</v>
      </c>
      <c r="N31" s="308">
        <f t="shared" ref="N31" si="22">IF(AND(M32&gt;0,N30=0),IF(M32&gt;ABS(N20-N25),ABS(N25-N20),M32),0)</f>
        <v>212.61049431192657</v>
      </c>
      <c r="O31" s="308">
        <f t="shared" ref="O31" si="23">IF(AND(N32&gt;0,O30=0),IF(N32&gt;ABS(O20-O25),ABS(O25-O20),N32),0)</f>
        <v>14.536063486238447</v>
      </c>
      <c r="P31" s="308">
        <f t="shared" ref="P31" si="24">IF(AND(O32&gt;0,P30=0),IF(O32&gt;ABS(P20-P25),ABS(P25-P20),O32),0)</f>
        <v>0</v>
      </c>
      <c r="Q31" s="308">
        <f t="shared" ref="Q31" si="25">IF(AND(P32&gt;0,Q30=0),IF(P32&gt;ABS(Q20-Q25),ABS(Q25-Q20),P32),0)</f>
        <v>165.69005510403323</v>
      </c>
      <c r="R31" s="308">
        <f t="shared" ref="R31" si="26">IF(AND(Q32&gt;0,R30=0),IF(Q32&gt;ABS(R20-R25),ABS(R25-R20),Q32),0)</f>
        <v>165.69005510403323</v>
      </c>
      <c r="S31" s="308">
        <f t="shared" ref="S31" si="27">IF(AND(R32&gt;0,S30=0),IF(R32&gt;ABS(S20-S25),ABS(S25-S20),R32),0)</f>
        <v>165.69005510403323</v>
      </c>
      <c r="T31" s="308">
        <f t="shared" ref="T31" si="28">IF(AND(S32&gt;0,T30=0),IF(S32&gt;ABS(T20-T25),ABS(T25-T20),S32),0)</f>
        <v>165.69005510403323</v>
      </c>
      <c r="U31" s="308">
        <f t="shared" ref="U31" si="29">IF(AND(T32&gt;0,U30=0),IF(T32&gt;ABS(U20-U25),ABS(U25-U20),T32),0)</f>
        <v>165.69005510403323</v>
      </c>
      <c r="V31" s="308">
        <f t="shared" ref="V31" si="30">IF(AND(U32&gt;0,V30=0),IF(U32&gt;ABS(V20-V25),ABS(V25-V20),U32),0)</f>
        <v>165.69005510403323</v>
      </c>
      <c r="W31" s="308">
        <f t="shared" ref="W31" si="31">IF(AND(V32&gt;0,W30=0),IF(V32&gt;ABS(W20-W25),ABS(W25-W20),V32),0)</f>
        <v>165.69005510403323</v>
      </c>
      <c r="X31" s="308">
        <f t="shared" ref="X31" si="32">IF(AND(W32&gt;0,X30=0),IF(W32&gt;ABS(X20-X25),ABS(X25-X20),W32),0)</f>
        <v>165.69005510403323</v>
      </c>
      <c r="Y31" s="308">
        <f t="shared" ref="Y31" si="33">IF(AND(X32&gt;0,Y30=0),IF(X32&gt;ABS(Y20-Y25),ABS(Y25-Y20),X32),0)</f>
        <v>165.69005510403323</v>
      </c>
      <c r="Z31" s="308">
        <f t="shared" ref="Z31" si="34">IF(AND(Y32&gt;0,Z30=0),IF(Y32&gt;ABS(Z20-Z25),ABS(Z25-Z20),Y32),0)</f>
        <v>1240.387909568288</v>
      </c>
    </row>
    <row r="32" spans="2:26" s="610" customFormat="1" ht="14.5">
      <c r="B32" s="252">
        <v>6</v>
      </c>
      <c r="C32" s="241" t="s">
        <v>583</v>
      </c>
      <c r="D32" s="229"/>
      <c r="E32" s="607">
        <f t="shared" si="16"/>
        <v>56646.751330593732</v>
      </c>
      <c r="F32" s="608"/>
      <c r="G32" s="609">
        <f>G30</f>
        <v>4940.2721559633028</v>
      </c>
      <c r="H32" s="308">
        <f>G32+H30-H31</f>
        <v>5662.2133486238536</v>
      </c>
      <c r="I32" s="308">
        <f>H32+I30-I31</f>
        <v>6023.1839449541285</v>
      </c>
      <c r="J32" s="308">
        <f t="shared" ref="J32:T32" si="35">I32+J30-J31</f>
        <v>4403.4102330275227</v>
      </c>
      <c r="K32" s="308">
        <f t="shared" si="35"/>
        <v>3992.725307889908</v>
      </c>
      <c r="L32" s="308">
        <f t="shared" si="35"/>
        <v>3582.0403827522932</v>
      </c>
      <c r="M32" s="308">
        <f t="shared" si="35"/>
        <v>2874.2438113761464</v>
      </c>
      <c r="N32" s="308">
        <f t="shared" si="35"/>
        <v>2661.6333170642197</v>
      </c>
      <c r="O32" s="308">
        <f t="shared" si="35"/>
        <v>2647.0972535779811</v>
      </c>
      <c r="P32" s="308">
        <f t="shared" si="35"/>
        <v>2731.5984055045865</v>
      </c>
      <c r="Q32" s="308">
        <f t="shared" si="35"/>
        <v>2565.9083504005534</v>
      </c>
      <c r="R32" s="308">
        <f t="shared" si="35"/>
        <v>2400.2182952965204</v>
      </c>
      <c r="S32" s="308">
        <f t="shared" si="35"/>
        <v>2234.5282401924874</v>
      </c>
      <c r="T32" s="308">
        <f t="shared" si="35"/>
        <v>2068.8381850884543</v>
      </c>
      <c r="U32" s="308">
        <f t="shared" ref="U32" si="36">T32+U30-U31</f>
        <v>1903.1481299844211</v>
      </c>
      <c r="V32" s="308">
        <f t="shared" ref="V32" si="37">U32+V30-V31</f>
        <v>1737.4580748803878</v>
      </c>
      <c r="W32" s="308">
        <f t="shared" ref="W32" si="38">V32+W30-W31</f>
        <v>1571.7680197763545</v>
      </c>
      <c r="X32" s="308">
        <f t="shared" ref="X32" si="39">W32+X30-X31</f>
        <v>1406.0779646723213</v>
      </c>
      <c r="Y32" s="308">
        <f t="shared" ref="Y32" si="40">X32+Y30-Y31</f>
        <v>1240.387909568288</v>
      </c>
      <c r="Z32" s="308">
        <f t="shared" ref="Z32" si="41">Y32+Z30-Z31</f>
        <v>0</v>
      </c>
    </row>
    <row r="33" spans="2:37" s="610" customFormat="1" ht="14.5">
      <c r="B33" s="252">
        <v>7</v>
      </c>
      <c r="C33" s="241" t="s">
        <v>584</v>
      </c>
      <c r="D33" s="229"/>
      <c r="E33" s="607">
        <f t="shared" si="16"/>
        <v>838.15301681149344</v>
      </c>
      <c r="F33" s="608">
        <f>SUM(G33:Z33)</f>
        <v>838.15301681149344</v>
      </c>
      <c r="G33" s="609">
        <f t="shared" ref="G33:Z33" si="42">IF(G30&gt;0,0,G20-G25-G31)</f>
        <v>0</v>
      </c>
      <c r="H33" s="308">
        <f t="shared" si="42"/>
        <v>0</v>
      </c>
      <c r="I33" s="308">
        <f t="shared" si="42"/>
        <v>0</v>
      </c>
      <c r="J33" s="308">
        <f t="shared" si="42"/>
        <v>0</v>
      </c>
      <c r="K33" s="308">
        <f t="shared" si="42"/>
        <v>0</v>
      </c>
      <c r="L33" s="308">
        <f t="shared" si="42"/>
        <v>0</v>
      </c>
      <c r="M33" s="308">
        <f t="shared" si="42"/>
        <v>0</v>
      </c>
      <c r="N33" s="308">
        <f t="shared" si="42"/>
        <v>0</v>
      </c>
      <c r="O33" s="308">
        <f t="shared" si="42"/>
        <v>0</v>
      </c>
      <c r="P33" s="308">
        <f t="shared" si="42"/>
        <v>0</v>
      </c>
      <c r="Q33" s="308">
        <f t="shared" si="42"/>
        <v>0</v>
      </c>
      <c r="R33" s="308">
        <f t="shared" si="42"/>
        <v>0</v>
      </c>
      <c r="S33" s="308">
        <f t="shared" si="42"/>
        <v>0</v>
      </c>
      <c r="T33" s="308">
        <f t="shared" si="42"/>
        <v>0</v>
      </c>
      <c r="U33" s="308">
        <f t="shared" si="42"/>
        <v>0</v>
      </c>
      <c r="V33" s="308">
        <f t="shared" si="42"/>
        <v>0</v>
      </c>
      <c r="W33" s="308">
        <f t="shared" si="42"/>
        <v>0</v>
      </c>
      <c r="X33" s="308">
        <f t="shared" si="42"/>
        <v>0</v>
      </c>
      <c r="Y33" s="308">
        <f t="shared" si="42"/>
        <v>0</v>
      </c>
      <c r="Z33" s="308">
        <f t="shared" si="42"/>
        <v>838.15301681149344</v>
      </c>
    </row>
    <row r="34" spans="2:37" s="610" customFormat="1" ht="14.5">
      <c r="B34" s="252">
        <v>8</v>
      </c>
      <c r="C34" s="241" t="s">
        <v>697</v>
      </c>
      <c r="D34" s="229"/>
      <c r="E34" s="607">
        <f t="shared" ca="1" si="16"/>
        <v>83.81530168114935</v>
      </c>
      <c r="F34" s="608">
        <f ca="1">SUM(G34:Z34)</f>
        <v>83.81530168114935</v>
      </c>
      <c r="G34" s="609">
        <f ca="1">G35+G36</f>
        <v>0</v>
      </c>
      <c r="H34" s="308">
        <f t="shared" ref="H34:Z34" si="43">H35+H36</f>
        <v>0</v>
      </c>
      <c r="I34" s="308">
        <f t="shared" si="43"/>
        <v>0</v>
      </c>
      <c r="J34" s="308">
        <f t="shared" si="43"/>
        <v>0</v>
      </c>
      <c r="K34" s="308">
        <f t="shared" si="43"/>
        <v>0</v>
      </c>
      <c r="L34" s="308">
        <f t="shared" si="43"/>
        <v>0</v>
      </c>
      <c r="M34" s="308">
        <f t="shared" si="43"/>
        <v>0</v>
      </c>
      <c r="N34" s="308">
        <f t="shared" si="43"/>
        <v>0</v>
      </c>
      <c r="O34" s="308">
        <f t="shared" si="43"/>
        <v>0</v>
      </c>
      <c r="P34" s="308">
        <f t="shared" si="43"/>
        <v>0</v>
      </c>
      <c r="Q34" s="308">
        <f t="shared" si="43"/>
        <v>0</v>
      </c>
      <c r="R34" s="308">
        <f t="shared" si="43"/>
        <v>0</v>
      </c>
      <c r="S34" s="308">
        <f t="shared" si="43"/>
        <v>0</v>
      </c>
      <c r="T34" s="308">
        <f t="shared" si="43"/>
        <v>0</v>
      </c>
      <c r="U34" s="308">
        <f t="shared" si="43"/>
        <v>0</v>
      </c>
      <c r="V34" s="308">
        <f t="shared" si="43"/>
        <v>0</v>
      </c>
      <c r="W34" s="308">
        <f t="shared" si="43"/>
        <v>0</v>
      </c>
      <c r="X34" s="308">
        <f t="shared" si="43"/>
        <v>0</v>
      </c>
      <c r="Y34" s="308">
        <f t="shared" si="43"/>
        <v>0</v>
      </c>
      <c r="Z34" s="308">
        <f t="shared" si="43"/>
        <v>83.81530168114935</v>
      </c>
    </row>
    <row r="35" spans="2:37" ht="14.5">
      <c r="B35" s="252">
        <v>8.1</v>
      </c>
      <c r="C35" s="242" t="s">
        <v>585</v>
      </c>
      <c r="D35" s="235">
        <v>7.0000000000000007E-2</v>
      </c>
      <c r="E35" s="525">
        <f t="shared" ca="1" si="16"/>
        <v>58.670711176804545</v>
      </c>
      <c r="F35" s="248">
        <f ca="1">SUM(G35:Z35)</f>
        <v>58.670711176804545</v>
      </c>
      <c r="G35" s="527">
        <f ca="1">G34*$D$35</f>
        <v>0</v>
      </c>
      <c r="H35" s="527">
        <f>H33*$D$35</f>
        <v>0</v>
      </c>
      <c r="I35" s="527">
        <f t="shared" ref="I35:Z35" si="44">I33*$D$35</f>
        <v>0</v>
      </c>
      <c r="J35" s="527">
        <f t="shared" si="44"/>
        <v>0</v>
      </c>
      <c r="K35" s="527">
        <f t="shared" si="44"/>
        <v>0</v>
      </c>
      <c r="L35" s="527">
        <f t="shared" si="44"/>
        <v>0</v>
      </c>
      <c r="M35" s="527">
        <f t="shared" si="44"/>
        <v>0</v>
      </c>
      <c r="N35" s="527">
        <f t="shared" si="44"/>
        <v>0</v>
      </c>
      <c r="O35" s="527">
        <f t="shared" si="44"/>
        <v>0</v>
      </c>
      <c r="P35" s="527">
        <f t="shared" si="44"/>
        <v>0</v>
      </c>
      <c r="Q35" s="527">
        <f t="shared" si="44"/>
        <v>0</v>
      </c>
      <c r="R35" s="527">
        <f t="shared" si="44"/>
        <v>0</v>
      </c>
      <c r="S35" s="527">
        <f t="shared" si="44"/>
        <v>0</v>
      </c>
      <c r="T35" s="527">
        <f t="shared" si="44"/>
        <v>0</v>
      </c>
      <c r="U35" s="527">
        <f t="shared" si="44"/>
        <v>0</v>
      </c>
      <c r="V35" s="527">
        <f t="shared" si="44"/>
        <v>0</v>
      </c>
      <c r="W35" s="527">
        <f t="shared" si="44"/>
        <v>0</v>
      </c>
      <c r="X35" s="527">
        <f t="shared" si="44"/>
        <v>0</v>
      </c>
      <c r="Y35" s="527">
        <f t="shared" si="44"/>
        <v>0</v>
      </c>
      <c r="Z35" s="527">
        <f t="shared" si="44"/>
        <v>58.670711176804545</v>
      </c>
    </row>
    <row r="36" spans="2:37" ht="15" thickBot="1">
      <c r="B36" s="252">
        <v>8.1999999999999993</v>
      </c>
      <c r="C36" s="242" t="s">
        <v>586</v>
      </c>
      <c r="D36" s="235">
        <v>0.03</v>
      </c>
      <c r="E36" s="526">
        <f t="shared" si="16"/>
        <v>25.144590504344801</v>
      </c>
      <c r="F36" s="248">
        <f>SUM(G36:Z36)</f>
        <v>25.144590504344801</v>
      </c>
      <c r="G36" s="527">
        <v>0</v>
      </c>
      <c r="H36" s="527">
        <f>H33*$D$36</f>
        <v>0</v>
      </c>
      <c r="I36" s="527">
        <f t="shared" ref="I36:Z36" si="45">I33*$D$36</f>
        <v>0</v>
      </c>
      <c r="J36" s="527">
        <f t="shared" si="45"/>
        <v>0</v>
      </c>
      <c r="K36" s="527">
        <f t="shared" si="45"/>
        <v>0</v>
      </c>
      <c r="L36" s="527">
        <f t="shared" si="45"/>
        <v>0</v>
      </c>
      <c r="M36" s="527">
        <f t="shared" si="45"/>
        <v>0</v>
      </c>
      <c r="N36" s="527">
        <f t="shared" si="45"/>
        <v>0</v>
      </c>
      <c r="O36" s="527">
        <f t="shared" si="45"/>
        <v>0</v>
      </c>
      <c r="P36" s="527">
        <f t="shared" si="45"/>
        <v>0</v>
      </c>
      <c r="Q36" s="527">
        <f t="shared" si="45"/>
        <v>0</v>
      </c>
      <c r="R36" s="527">
        <f t="shared" si="45"/>
        <v>0</v>
      </c>
      <c r="S36" s="527">
        <f t="shared" si="45"/>
        <v>0</v>
      </c>
      <c r="T36" s="527">
        <f t="shared" si="45"/>
        <v>0</v>
      </c>
      <c r="U36" s="527">
        <f t="shared" si="45"/>
        <v>0</v>
      </c>
      <c r="V36" s="527">
        <f t="shared" si="45"/>
        <v>0</v>
      </c>
      <c r="W36" s="527">
        <f t="shared" si="45"/>
        <v>0</v>
      </c>
      <c r="X36" s="527">
        <f t="shared" si="45"/>
        <v>0</v>
      </c>
      <c r="Y36" s="527">
        <f t="shared" si="45"/>
        <v>0</v>
      </c>
      <c r="Z36" s="527">
        <f t="shared" si="45"/>
        <v>25.144590504344801</v>
      </c>
    </row>
    <row r="38" spans="2:37">
      <c r="B38" s="232" t="s">
        <v>240</v>
      </c>
      <c r="C38" s="233" t="s">
        <v>241</v>
      </c>
      <c r="D38" s="229" t="s">
        <v>244</v>
      </c>
      <c r="E38" s="250" t="s">
        <v>306</v>
      </c>
      <c r="F38" s="229" t="s">
        <v>245</v>
      </c>
      <c r="G38" s="484" t="s">
        <v>477</v>
      </c>
      <c r="H38" s="484" t="s">
        <v>478</v>
      </c>
      <c r="I38" s="484" t="s">
        <v>479</v>
      </c>
      <c r="J38" s="484" t="s">
        <v>480</v>
      </c>
      <c r="K38" s="484" t="s">
        <v>483</v>
      </c>
      <c r="L38" s="484" t="s">
        <v>484</v>
      </c>
      <c r="M38" s="484" t="s">
        <v>485</v>
      </c>
      <c r="N38" s="484" t="s">
        <v>486</v>
      </c>
      <c r="O38" s="484" t="s">
        <v>487</v>
      </c>
      <c r="P38" s="484" t="s">
        <v>488</v>
      </c>
      <c r="Q38" s="484" t="s">
        <v>489</v>
      </c>
      <c r="R38" s="484" t="s">
        <v>490</v>
      </c>
      <c r="S38" s="484" t="s">
        <v>491</v>
      </c>
      <c r="T38" s="484" t="s">
        <v>492</v>
      </c>
      <c r="U38" s="484" t="s">
        <v>507</v>
      </c>
      <c r="V38" s="484" t="s">
        <v>508</v>
      </c>
      <c r="W38" s="484" t="s">
        <v>509</v>
      </c>
      <c r="X38" s="484" t="s">
        <v>510</v>
      </c>
      <c r="Y38" s="484" t="s">
        <v>511</v>
      </c>
      <c r="Z38" s="484" t="s">
        <v>512</v>
      </c>
    </row>
    <row r="39" spans="2:37">
      <c r="B39" s="252">
        <v>1</v>
      </c>
      <c r="C39" s="613" t="s">
        <v>688</v>
      </c>
      <c r="D39" s="248"/>
      <c r="E39" s="248"/>
      <c r="F39" s="640">
        <f>SUM(G39:Z39)</f>
        <v>0.99999999999999989</v>
      </c>
      <c r="G39" s="641">
        <f>'3.1销售情况分析'!G42/'3.1销售情况分析'!$F$42</f>
        <v>0</v>
      </c>
      <c r="H39" s="641">
        <f>'3.1销售情况分析'!H42/'3.1销售情况分析'!$F$42</f>
        <v>0</v>
      </c>
      <c r="I39" s="641">
        <f>'3.1销售情况分析'!I42/'3.1销售情况分析'!$F$42</f>
        <v>0</v>
      </c>
      <c r="J39" s="641">
        <f>'3.1销售情况分析'!J42/'3.1销售情况分析'!$F$42</f>
        <v>0.20689981890735307</v>
      </c>
      <c r="K39" s="641">
        <f>'3.1销售情况分析'!K42/'3.1销售情况分析'!$F$42</f>
        <v>8.0603734154393397E-2</v>
      </c>
      <c r="L39" s="641">
        <f>'3.1销售情况分析'!L42/'3.1销售情况分析'!$F$42</f>
        <v>8.0603734154393397E-2</v>
      </c>
      <c r="M39" s="641">
        <f>'3.1销售情况分析'!M42/'3.1销售情况分析'!$F$42</f>
        <v>0.11163870699049636</v>
      </c>
      <c r="N39" s="641">
        <f>'3.1销售情况分析'!N42/'3.1销售情况分析'!$F$42</f>
        <v>5.9913752263658103E-2</v>
      </c>
      <c r="O39" s="641">
        <f>'3.1销售情况分析'!O42/'3.1销售情况分析'!$F$42</f>
        <v>3.9223770372922802E-2</v>
      </c>
      <c r="P39" s="641">
        <f>'3.1销售情况分析'!P42/'3.1销售情况分析'!$F$42</f>
        <v>2.8878779427555155E-2</v>
      </c>
      <c r="Q39" s="641">
        <f>'3.1销售情况分析'!Q42/'3.1销售情况分析'!$F$42</f>
        <v>1.8533788482187501E-2</v>
      </c>
      <c r="R39" s="641">
        <f>'3.1销售情况分析'!R42/'3.1销售情况分析'!$F$42</f>
        <v>1.8533788482187501E-2</v>
      </c>
      <c r="S39" s="641">
        <f>'3.1销售情况分析'!S42/'3.1销售情况分析'!$F$42</f>
        <v>1.8533788482187501E-2</v>
      </c>
      <c r="T39" s="641">
        <f>'3.1销售情况分析'!T42/'3.1销售情况分析'!$F$42</f>
        <v>1.8533788482187501E-2</v>
      </c>
      <c r="U39" s="641">
        <f>'3.1销售情况分析'!U42/'3.1销售情况分析'!$F$42</f>
        <v>1.8533788482187501E-2</v>
      </c>
      <c r="V39" s="641">
        <f>'3.1销售情况分析'!V42/'3.1销售情况分析'!$F$42</f>
        <v>1.8533788482187501E-2</v>
      </c>
      <c r="W39" s="641">
        <f>'3.1销售情况分析'!W42/'3.1销售情况分析'!$F$42</f>
        <v>1.8533788482187501E-2</v>
      </c>
      <c r="X39" s="641">
        <f>'3.1销售情况分析'!X42/'3.1销售情况分析'!$F$42</f>
        <v>1.8533788482187501E-2</v>
      </c>
      <c r="Y39" s="641">
        <f>'3.1销售情况分析'!Y42/'3.1销售情况分析'!$F$42</f>
        <v>1.8533788482187501E-2</v>
      </c>
      <c r="Z39" s="641">
        <f>'3.1销售情况分析'!Z42/'3.1销售情况分析'!$F$42</f>
        <v>0.22543360738954052</v>
      </c>
    </row>
    <row r="40" spans="2:37" s="103" customFormat="1" ht="30.75" customHeight="1" thickBot="1">
      <c r="B40" s="728" t="s">
        <v>724</v>
      </c>
      <c r="C40" s="728"/>
      <c r="D40" s="728"/>
      <c r="E40" s="728"/>
      <c r="F40" s="728"/>
      <c r="G40" s="728"/>
      <c r="H40" s="728"/>
      <c r="I40" s="728"/>
      <c r="J40" s="728"/>
      <c r="K40" s="728"/>
      <c r="L40" s="728"/>
      <c r="M40" s="728"/>
      <c r="N40" s="728"/>
      <c r="O40" s="728"/>
      <c r="P40" s="728"/>
      <c r="Q40" s="728"/>
      <c r="R40" s="728"/>
      <c r="S40" s="728"/>
      <c r="T40" s="728"/>
      <c r="U40" s="728"/>
      <c r="V40" s="728"/>
      <c r="W40" s="728"/>
      <c r="X40" s="728"/>
      <c r="Y40" s="728"/>
      <c r="Z40" s="113"/>
      <c r="AA40" s="113"/>
      <c r="AB40" s="113"/>
      <c r="AC40" s="113"/>
      <c r="AD40" s="113"/>
      <c r="AE40" s="113"/>
      <c r="AF40" s="113"/>
      <c r="AG40" s="113"/>
      <c r="AH40" s="113"/>
      <c r="AI40" s="113"/>
      <c r="AJ40" s="113"/>
      <c r="AK40" s="113"/>
    </row>
    <row r="41" spans="2:37" s="103" customFormat="1" ht="30.75" customHeight="1">
      <c r="B41" s="252" t="s">
        <v>41</v>
      </c>
      <c r="C41" s="241" t="s">
        <v>379</v>
      </c>
      <c r="D41" s="622" t="s">
        <v>398</v>
      </c>
      <c r="E41" s="524" t="s">
        <v>92</v>
      </c>
      <c r="F41" s="531" t="s">
        <v>497</v>
      </c>
      <c r="G41" s="484" t="s">
        <v>477</v>
      </c>
      <c r="H41" s="484" t="s">
        <v>478</v>
      </c>
      <c r="I41" s="484" t="s">
        <v>479</v>
      </c>
      <c r="J41" s="484" t="s">
        <v>480</v>
      </c>
      <c r="K41" s="484" t="s">
        <v>483</v>
      </c>
      <c r="L41" s="484" t="s">
        <v>484</v>
      </c>
      <c r="M41" s="484" t="s">
        <v>485</v>
      </c>
      <c r="N41" s="484" t="s">
        <v>486</v>
      </c>
      <c r="O41" s="484" t="s">
        <v>487</v>
      </c>
      <c r="P41" s="484" t="s">
        <v>488</v>
      </c>
      <c r="Q41" s="484" t="s">
        <v>489</v>
      </c>
      <c r="R41" s="484" t="s">
        <v>490</v>
      </c>
      <c r="S41" s="484" t="s">
        <v>491</v>
      </c>
      <c r="T41" s="484" t="s">
        <v>492</v>
      </c>
      <c r="U41" s="484" t="s">
        <v>507</v>
      </c>
      <c r="V41" s="484" t="s">
        <v>508</v>
      </c>
      <c r="W41" s="484" t="s">
        <v>509</v>
      </c>
      <c r="X41" s="484" t="s">
        <v>510</v>
      </c>
      <c r="Y41" s="484" t="s">
        <v>511</v>
      </c>
      <c r="Z41" s="484" t="s">
        <v>512</v>
      </c>
      <c r="AA41" s="113"/>
      <c r="AB41" s="113"/>
      <c r="AC41" s="113"/>
      <c r="AD41" s="113"/>
      <c r="AE41" s="113"/>
      <c r="AF41" s="113"/>
      <c r="AG41" s="113"/>
      <c r="AH41" s="113"/>
      <c r="AI41" s="113"/>
      <c r="AJ41" s="113"/>
      <c r="AK41" s="113"/>
    </row>
    <row r="42" spans="2:37" s="103" customFormat="1" ht="30.75" customHeight="1">
      <c r="B42" s="618">
        <v>1</v>
      </c>
      <c r="C42" s="108" t="s">
        <v>691</v>
      </c>
      <c r="D42" s="108"/>
      <c r="E42" s="617">
        <f t="shared" ref="E42:E50" si="46">SUM(G42:Z42)</f>
        <v>106371.62568807337</v>
      </c>
      <c r="F42" s="608">
        <f t="shared" ref="F42:F50" si="47">SUM(G42:Z42)</f>
        <v>106371.62568807337</v>
      </c>
      <c r="G42" s="249">
        <f t="shared" ref="G42:Z42" si="48">G43+G44</f>
        <v>0</v>
      </c>
      <c r="H42" s="249">
        <f t="shared" si="48"/>
        <v>0</v>
      </c>
      <c r="I42" s="249">
        <f t="shared" si="48"/>
        <v>0</v>
      </c>
      <c r="J42" s="249">
        <f t="shared" si="48"/>
        <v>22008.270091743125</v>
      </c>
      <c r="K42" s="249">
        <f t="shared" si="48"/>
        <v>8573.9502385321102</v>
      </c>
      <c r="L42" s="249">
        <f t="shared" si="48"/>
        <v>8573.9502385321102</v>
      </c>
      <c r="M42" s="249">
        <f t="shared" si="48"/>
        <v>11875.190752293578</v>
      </c>
      <c r="N42" s="249">
        <f t="shared" si="48"/>
        <v>6373.1232293577987</v>
      </c>
      <c r="O42" s="249">
        <f t="shared" si="48"/>
        <v>4172.2962201834862</v>
      </c>
      <c r="P42" s="249">
        <f t="shared" si="48"/>
        <v>3071.8827155963309</v>
      </c>
      <c r="Q42" s="249">
        <f t="shared" si="48"/>
        <v>1971.4692110091744</v>
      </c>
      <c r="R42" s="249">
        <f t="shared" si="48"/>
        <v>1971.4692110091744</v>
      </c>
      <c r="S42" s="249">
        <f t="shared" si="48"/>
        <v>1971.4692110091744</v>
      </c>
      <c r="T42" s="249">
        <f t="shared" si="48"/>
        <v>1971.4692110091744</v>
      </c>
      <c r="U42" s="249">
        <f t="shared" si="48"/>
        <v>1971.4692110091744</v>
      </c>
      <c r="V42" s="249">
        <f t="shared" si="48"/>
        <v>1971.4692110091744</v>
      </c>
      <c r="W42" s="249">
        <f t="shared" si="48"/>
        <v>1971.4692110091744</v>
      </c>
      <c r="X42" s="249">
        <f t="shared" si="48"/>
        <v>1971.4692110091744</v>
      </c>
      <c r="Y42" s="249">
        <f t="shared" si="48"/>
        <v>1971.4692110091744</v>
      </c>
      <c r="Z42" s="249">
        <f t="shared" si="48"/>
        <v>23979.739302752296</v>
      </c>
      <c r="AA42" s="621"/>
      <c r="AB42" s="621"/>
      <c r="AC42" s="621"/>
      <c r="AD42" s="621"/>
      <c r="AE42" s="621"/>
      <c r="AF42" s="621"/>
      <c r="AG42" s="621"/>
      <c r="AH42" s="621"/>
      <c r="AI42" s="621"/>
      <c r="AJ42" s="621"/>
      <c r="AK42" s="621"/>
    </row>
    <row r="43" spans="2:37" s="102" customFormat="1" ht="30.75" customHeight="1">
      <c r="B43" s="619">
        <v>1.1000000000000001</v>
      </c>
      <c r="C43" s="107" t="s">
        <v>690</v>
      </c>
      <c r="D43" s="107" t="s">
        <v>707</v>
      </c>
      <c r="E43" s="620">
        <f t="shared" si="46"/>
        <v>106371.62568807337</v>
      </c>
      <c r="F43" s="613">
        <f t="shared" si="47"/>
        <v>106371.62568807337</v>
      </c>
      <c r="G43" s="249">
        <f>'3.1销售情况分析'!G16-'3.1销售情况分析'!G21</f>
        <v>0</v>
      </c>
      <c r="H43" s="249">
        <f>'3.1销售情况分析'!H16-'3.1销售情况分析'!H21</f>
        <v>0</v>
      </c>
      <c r="I43" s="249">
        <f>'3.1销售情况分析'!I16-'3.1销售情况分析'!I21</f>
        <v>0</v>
      </c>
      <c r="J43" s="249">
        <f>'3.1销售情况分析'!J16-'3.1销售情况分析'!J21</f>
        <v>22008.270091743125</v>
      </c>
      <c r="K43" s="249">
        <f>'3.1销售情况分析'!K16-'3.1销售情况分析'!K21</f>
        <v>8573.9502385321102</v>
      </c>
      <c r="L43" s="249">
        <f>'3.1销售情况分析'!L16-'3.1销售情况分析'!L21</f>
        <v>8573.9502385321102</v>
      </c>
      <c r="M43" s="249">
        <f>'3.1销售情况分析'!M16-'3.1销售情况分析'!M21</f>
        <v>11875.190752293578</v>
      </c>
      <c r="N43" s="249">
        <f>'3.1销售情况分析'!N16-'3.1销售情况分析'!N21</f>
        <v>6373.1232293577987</v>
      </c>
      <c r="O43" s="249">
        <f>'3.1销售情况分析'!O16-'3.1销售情况分析'!O21</f>
        <v>4172.2962201834862</v>
      </c>
      <c r="P43" s="249">
        <f>'3.1销售情况分析'!P16-'3.1销售情况分析'!P21</f>
        <v>3071.8827155963309</v>
      </c>
      <c r="Q43" s="249">
        <f>'3.1销售情况分析'!Q16-'3.1销售情况分析'!Q21</f>
        <v>1971.4692110091744</v>
      </c>
      <c r="R43" s="249">
        <f>'3.1销售情况分析'!R16-'3.1销售情况分析'!R21</f>
        <v>1971.4692110091744</v>
      </c>
      <c r="S43" s="249">
        <f>'3.1销售情况分析'!S16-'3.1销售情况分析'!S21</f>
        <v>1971.4692110091744</v>
      </c>
      <c r="T43" s="249">
        <f>'3.1销售情况分析'!T16-'3.1销售情况分析'!T21</f>
        <v>1971.4692110091744</v>
      </c>
      <c r="U43" s="249">
        <f>'3.1销售情况分析'!U16-'3.1销售情况分析'!U21</f>
        <v>1971.4692110091744</v>
      </c>
      <c r="V43" s="249">
        <f>'3.1销售情况分析'!V16-'3.1销售情况分析'!V21</f>
        <v>1971.4692110091744</v>
      </c>
      <c r="W43" s="249">
        <f>'3.1销售情况分析'!W16-'3.1销售情况分析'!W21</f>
        <v>1971.4692110091744</v>
      </c>
      <c r="X43" s="249">
        <f>'3.1销售情况分析'!X16-'3.1销售情况分析'!X21</f>
        <v>1971.4692110091744</v>
      </c>
      <c r="Y43" s="249">
        <f>'3.1销售情况分析'!Y16-'3.1销售情况分析'!Y21</f>
        <v>1971.4692110091744</v>
      </c>
      <c r="Z43" s="249">
        <f>'3.1销售情况分析'!Z16-'3.1销售情况分析'!Z21</f>
        <v>23979.739302752296</v>
      </c>
      <c r="AA43" s="113"/>
      <c r="AB43" s="113"/>
      <c r="AC43" s="113"/>
      <c r="AD43" s="113"/>
      <c r="AE43" s="113"/>
      <c r="AF43" s="113"/>
      <c r="AG43" s="113"/>
      <c r="AH43" s="113"/>
      <c r="AI43" s="113"/>
      <c r="AJ43" s="113"/>
      <c r="AK43" s="113"/>
    </row>
    <row r="44" spans="2:37" s="102" customFormat="1" ht="30.75" customHeight="1">
      <c r="B44" s="619">
        <v>1.2</v>
      </c>
      <c r="C44" s="107" t="s">
        <v>689</v>
      </c>
      <c r="D44" s="107" t="s">
        <v>707</v>
      </c>
      <c r="E44" s="620">
        <f t="shared" si="46"/>
        <v>0</v>
      </c>
      <c r="F44" s="613">
        <f t="shared" si="47"/>
        <v>0</v>
      </c>
      <c r="G44" s="249">
        <f>'3.1销售情况分析'!G19-'3.1销售情况分析'!G24</f>
        <v>0</v>
      </c>
      <c r="H44" s="249">
        <f>'3.1销售情况分析'!H19-'3.1销售情况分析'!H24</f>
        <v>0</v>
      </c>
      <c r="I44" s="249">
        <f>'3.1销售情况分析'!I19-'3.1销售情况分析'!I24</f>
        <v>0</v>
      </c>
      <c r="J44" s="249">
        <f>'3.1销售情况分析'!J19-'3.1销售情况分析'!J24</f>
        <v>0</v>
      </c>
      <c r="K44" s="249">
        <f>'3.1销售情况分析'!K19-'3.1销售情况分析'!K24</f>
        <v>0</v>
      </c>
      <c r="L44" s="249">
        <f>'3.1销售情况分析'!L19-'3.1销售情况分析'!L24</f>
        <v>0</v>
      </c>
      <c r="M44" s="249">
        <f>'3.1销售情况分析'!M19-'3.1销售情况分析'!M24</f>
        <v>0</v>
      </c>
      <c r="N44" s="249">
        <f>'3.1销售情况分析'!N19-'3.1销售情况分析'!N24</f>
        <v>0</v>
      </c>
      <c r="O44" s="249">
        <f>'3.1销售情况分析'!O19-'3.1销售情况分析'!O24</f>
        <v>0</v>
      </c>
      <c r="P44" s="249">
        <f>'3.1销售情况分析'!P19-'3.1销售情况分析'!P24</f>
        <v>0</v>
      </c>
      <c r="Q44" s="249">
        <f>'3.1销售情况分析'!Q19-'3.1销售情况分析'!Q24</f>
        <v>0</v>
      </c>
      <c r="R44" s="249">
        <f>'3.1销售情况分析'!R19-'3.1销售情况分析'!R24</f>
        <v>0</v>
      </c>
      <c r="S44" s="249">
        <f>'3.1销售情况分析'!S19-'3.1销售情况分析'!S24</f>
        <v>0</v>
      </c>
      <c r="T44" s="249">
        <f>'3.1销售情况分析'!T19-'3.1销售情况分析'!T24</f>
        <v>0</v>
      </c>
      <c r="U44" s="249">
        <f>'3.1销售情况分析'!U19-'3.1销售情况分析'!U24</f>
        <v>0</v>
      </c>
      <c r="V44" s="249">
        <f>'3.1销售情况分析'!V19-'3.1销售情况分析'!V24</f>
        <v>0</v>
      </c>
      <c r="W44" s="249">
        <f>'3.1销售情况分析'!W19-'3.1销售情况分析'!W24</f>
        <v>0</v>
      </c>
      <c r="X44" s="249">
        <f>'3.1销售情况分析'!X19-'3.1销售情况分析'!X24</f>
        <v>0</v>
      </c>
      <c r="Y44" s="249">
        <f>'3.1销售情况分析'!Y19-'3.1销售情况分析'!Y24</f>
        <v>0</v>
      </c>
      <c r="Z44" s="249">
        <f>'3.1销售情况分析'!Z19-'3.1销售情况分析'!Z24</f>
        <v>0</v>
      </c>
      <c r="AA44" s="113"/>
      <c r="AB44" s="113"/>
      <c r="AC44" s="113"/>
      <c r="AD44" s="113"/>
      <c r="AE44" s="113"/>
      <c r="AF44" s="113"/>
      <c r="AG44" s="113"/>
      <c r="AH44" s="113"/>
      <c r="AI44" s="113"/>
      <c r="AJ44" s="113"/>
      <c r="AK44" s="113"/>
    </row>
    <row r="45" spans="2:37" s="103" customFormat="1" ht="30.75" customHeight="1">
      <c r="B45" s="618">
        <v>2</v>
      </c>
      <c r="C45" s="108" t="s">
        <v>692</v>
      </c>
      <c r="D45" s="108" t="s">
        <v>707</v>
      </c>
      <c r="E45" s="617">
        <f t="shared" si="46"/>
        <v>127441.94838395304</v>
      </c>
      <c r="F45" s="608">
        <f t="shared" si="47"/>
        <v>127441.94838395304</v>
      </c>
      <c r="G45" s="249">
        <f t="shared" ref="G45:Z45" si="49">SUM(G46:G49)</f>
        <v>0</v>
      </c>
      <c r="H45" s="249">
        <f t="shared" si="49"/>
        <v>94.339622641509436</v>
      </c>
      <c r="I45" s="249">
        <f t="shared" si="49"/>
        <v>94.339622641509436</v>
      </c>
      <c r="J45" s="249">
        <f t="shared" si="49"/>
        <v>25328.313191311685</v>
      </c>
      <c r="K45" s="249">
        <f t="shared" si="49"/>
        <v>9924.9547866830835</v>
      </c>
      <c r="L45" s="249">
        <f t="shared" si="49"/>
        <v>9924.9547866830835</v>
      </c>
      <c r="M45" s="249">
        <f t="shared" si="49"/>
        <v>13710.050821983608</v>
      </c>
      <c r="N45" s="249">
        <f t="shared" si="49"/>
        <v>7401.5574298160664</v>
      </c>
      <c r="O45" s="249">
        <f t="shared" si="49"/>
        <v>4878.1600729490492</v>
      </c>
      <c r="P45" s="249">
        <f t="shared" si="49"/>
        <v>3616.4613945155415</v>
      </c>
      <c r="Q45" s="249">
        <f t="shared" si="49"/>
        <v>3010.5259660820334</v>
      </c>
      <c r="R45" s="249">
        <f t="shared" si="49"/>
        <v>2949.2552659441772</v>
      </c>
      <c r="S45" s="249">
        <f t="shared" si="49"/>
        <v>2887.0655053042533</v>
      </c>
      <c r="T45" s="249">
        <f t="shared" si="49"/>
        <v>2823.9428982547302</v>
      </c>
      <c r="U45" s="249">
        <f t="shared" si="49"/>
        <v>2759.8734520994644</v>
      </c>
      <c r="V45" s="249">
        <f t="shared" si="49"/>
        <v>2694.8429642518699</v>
      </c>
      <c r="W45" s="249">
        <f t="shared" si="49"/>
        <v>2628.8370190865612</v>
      </c>
      <c r="X45" s="249">
        <f t="shared" si="49"/>
        <v>2561.8409847437729</v>
      </c>
      <c r="Y45" s="249">
        <f t="shared" si="49"/>
        <v>2493.8400098858428</v>
      </c>
      <c r="Z45" s="249">
        <f t="shared" si="49"/>
        <v>27658.792589075212</v>
      </c>
      <c r="AA45" s="621"/>
      <c r="AB45" s="621"/>
      <c r="AC45" s="621"/>
      <c r="AD45" s="621"/>
      <c r="AE45" s="621"/>
      <c r="AF45" s="621"/>
      <c r="AG45" s="621"/>
      <c r="AH45" s="621"/>
      <c r="AI45" s="621"/>
      <c r="AJ45" s="621"/>
      <c r="AK45" s="621"/>
    </row>
    <row r="46" spans="2:37" s="102" customFormat="1" ht="30.75" customHeight="1">
      <c r="B46" s="619">
        <v>2.1</v>
      </c>
      <c r="C46" s="107" t="s">
        <v>693</v>
      </c>
      <c r="D46" s="107" t="s">
        <v>707</v>
      </c>
      <c r="E46" s="620">
        <f t="shared" si="46"/>
        <v>59832.185000000049</v>
      </c>
      <c r="F46" s="613">
        <f t="shared" si="47"/>
        <v>59832.185000000049</v>
      </c>
      <c r="G46" s="249">
        <f>('附表1.1 总投资估算（明细）'!$H$39+'附表1.1 总投资估算（明细）'!$H$40+'附表1.1 总投资估算（明细）'!$H$41+'附表1.1 总投资估算（明细）'!$H$42)*'3.1销售情况分析'!G39</f>
        <v>0</v>
      </c>
      <c r="H46" s="249">
        <f>('附表1.1 总投资估算（明细）'!$H$39+'附表1.1 总投资估算（明细）'!$H$40+'附表1.1 总投资估算（明细）'!$H$41+'附表1.1 总投资估算（明细）'!$H$42)*'3.1销售情况分析'!H39</f>
        <v>0</v>
      </c>
      <c r="I46" s="249">
        <f>('附表1.1 总投资估算（明细）'!$H$39+'附表1.1 总投资估算（明细）'!$H$40+'附表1.1 总投资估算（明细）'!$H$41+'附表1.1 总投资估算（明细）'!$H$42)*'3.1销售情况分析'!I39</f>
        <v>0</v>
      </c>
      <c r="J46" s="249">
        <f>('附表1.1 总投资估算（明细）'!$H$39+'附表1.1 总投资估算（明细）'!$H$40+'附表1.1 总投资估算（明细）'!$H$41+'附表1.1 总投资估算（明细）'!$H$42)*'3.1销售情况分析'!J39</f>
        <v>12379.268241331247</v>
      </c>
      <c r="K46" s="249">
        <f>('附表1.1 总投资估算（明细）'!$H$39+'附表1.1 总投资估算（明细）'!$H$40+'附表1.1 总投资估算（明细）'!$H$41+'附表1.1 总投资估算（明细）'!$H$42)*'3.1销售情况分析'!K39</f>
        <v>4822.6975336164851</v>
      </c>
      <c r="L46" s="249">
        <f>('附表1.1 总投资估算（明细）'!$H$39+'附表1.1 总投资估算（明细）'!$H$40+'附表1.1 总投资估算（明细）'!$H$41+'附表1.1 总投资估算（明细）'!$H$42)*'3.1销售情况分析'!L39</f>
        <v>4822.6975336164851</v>
      </c>
      <c r="M46" s="249">
        <f>('附表1.1 总投资估算（明细）'!$H$39+'附表1.1 总投资估算（明细）'!$H$40+'附表1.1 总投资估算（明细）'!$H$41+'附表1.1 总投资估算（明细）'!$H$42)*'3.1销售情况分析'!M39</f>
        <v>6679.5877698161721</v>
      </c>
      <c r="N46" s="249">
        <f>('附表1.1 总投资估算（明细）'!$H$39+'附表1.1 总投资估算（明细）'!$H$40+'附表1.1 总投资估算（明细）'!$H$41+'附表1.1 总投资估算（明细）'!$H$42)*'3.1销售情况分析'!N39</f>
        <v>3584.7707094833609</v>
      </c>
      <c r="O46" s="249">
        <f>('附表1.1 总投资估算（明细）'!$H$39+'附表1.1 总投资估算（明细）'!$H$40+'附表1.1 总投资估算（明细）'!$H$41+'附表1.1 总投资估算（明细）'!$H$42)*'3.1销售情况分析'!O39</f>
        <v>2346.8438853502362</v>
      </c>
      <c r="P46" s="249">
        <f>('附表1.1 总投资估算（明细）'!$H$39+'附表1.1 总投资估算（明细）'!$H$40+'附表1.1 总投资估算（明细）'!$H$41+'附表1.1 总投资估算（明细）'!$H$42)*'3.1销售情况分析'!P39</f>
        <v>1727.8804732836743</v>
      </c>
      <c r="Q46" s="249">
        <f>('附表1.1 总投资估算（明细）'!$H$39+'附表1.1 总投资估算（明细）'!$H$40+'附表1.1 总投资估算（明细）'!$H$41+'附表1.1 总投资估算（明细）'!$H$42)*'3.1销售情况分析'!Q39</f>
        <v>1108.917061217112</v>
      </c>
      <c r="R46" s="249">
        <f>('附表1.1 总投资估算（明细）'!$H$39+'附表1.1 总投资估算（明细）'!$H$40+'附表1.1 总投资估算（明细）'!$H$41+'附表1.1 总投资估算（明细）'!$H$42)*'3.1销售情况分析'!R39</f>
        <v>1108.917061217112</v>
      </c>
      <c r="S46" s="249">
        <f>('附表1.1 总投资估算（明细）'!$H$39+'附表1.1 总投资估算（明细）'!$H$40+'附表1.1 总投资估算（明细）'!$H$41+'附表1.1 总投资估算（明细）'!$H$42)*'3.1销售情况分析'!S39</f>
        <v>1108.917061217112</v>
      </c>
      <c r="T46" s="249">
        <f>('附表1.1 总投资估算（明细）'!$H$39+'附表1.1 总投资估算（明细）'!$H$40+'附表1.1 总投资估算（明细）'!$H$41+'附表1.1 总投资估算（明细）'!$H$42)*'3.1销售情况分析'!T39</f>
        <v>1108.917061217112</v>
      </c>
      <c r="U46" s="249">
        <f>('附表1.1 总投资估算（明细）'!$H$39+'附表1.1 总投资估算（明细）'!$H$40+'附表1.1 总投资估算（明细）'!$H$41+'附表1.1 总投资估算（明细）'!$H$42)*'3.1销售情况分析'!U39</f>
        <v>1108.917061217112</v>
      </c>
      <c r="V46" s="249">
        <f>('附表1.1 总投资估算（明细）'!$H$39+'附表1.1 总投资估算（明细）'!$H$40+'附表1.1 总投资估算（明细）'!$H$41+'附表1.1 总投资估算（明细）'!$H$42)*'3.1销售情况分析'!V39</f>
        <v>1108.917061217112</v>
      </c>
      <c r="W46" s="249">
        <f>('附表1.1 总投资估算（明细）'!$H$39+'附表1.1 总投资估算（明细）'!$H$40+'附表1.1 总投资估算（明细）'!$H$41+'附表1.1 总投资估算（明细）'!$H$42)*'3.1销售情况分析'!W39</f>
        <v>1108.917061217112</v>
      </c>
      <c r="X46" s="249">
        <f>('附表1.1 总投资估算（明细）'!$H$39+'附表1.1 总投资估算（明细）'!$H$40+'附表1.1 总投资估算（明细）'!$H$41+'附表1.1 总投资估算（明细）'!$H$42)*'3.1销售情况分析'!X39</f>
        <v>1108.917061217112</v>
      </c>
      <c r="Y46" s="249">
        <f>('附表1.1 总投资估算（明细）'!$H$39+'附表1.1 总投资估算（明细）'!$H$40+'附表1.1 总投资估算（明细）'!$H$41+'附表1.1 总投资估算（明细）'!$H$42)*'3.1销售情况分析'!Y39</f>
        <v>1108.917061217112</v>
      </c>
      <c r="Z46" s="249">
        <f>('附表1.1 总投资估算（明细）'!$H$39+'附表1.1 总投资估算（明细）'!$H$40+'附表1.1 总投资估算（明细）'!$H$41+'附表1.1 总投资估算（明细）'!$H$42)*'3.1销售情况分析'!Z39</f>
        <v>13488.185302548356</v>
      </c>
      <c r="AA46" s="113"/>
      <c r="AB46" s="113"/>
      <c r="AC46" s="113"/>
      <c r="AD46" s="113"/>
      <c r="AE46" s="113"/>
      <c r="AF46" s="113"/>
      <c r="AG46" s="113"/>
      <c r="AH46" s="113"/>
      <c r="AI46" s="113"/>
      <c r="AJ46" s="113"/>
      <c r="AK46" s="113"/>
    </row>
    <row r="47" spans="2:37" s="102" customFormat="1" ht="30.75" customHeight="1">
      <c r="B47" s="619">
        <v>2.2000000000000002</v>
      </c>
      <c r="C47" s="107" t="s">
        <v>694</v>
      </c>
      <c r="D47" s="107" t="s">
        <v>707</v>
      </c>
      <c r="E47" s="620">
        <f t="shared" si="46"/>
        <v>37245.458715596353</v>
      </c>
      <c r="F47" s="613">
        <f t="shared" si="47"/>
        <v>37245.458715596353</v>
      </c>
      <c r="G47" s="249">
        <f>'附表2 投资计划与资金筹措平衡表 '!$O$6/(1+'3.1销售情况分析'!$D$26)*'3.1销售情况分析'!G39</f>
        <v>0</v>
      </c>
      <c r="H47" s="249">
        <f>'附表2 投资计划与资金筹措平衡表 '!$O$6/(1+'3.1销售情况分析'!$D$26)*'3.1销售情况分析'!H39</f>
        <v>0</v>
      </c>
      <c r="I47" s="249">
        <f>'附表2 投资计划与资金筹措平衡表 '!$O$6/(1+'3.1销售情况分析'!$D$26)*'3.1销售情况分析'!I39</f>
        <v>0</v>
      </c>
      <c r="J47" s="249">
        <f>'附表2 投资计划与资金筹措平衡表 '!$O$6/(1+'3.1销售情况分析'!$D$26)*'3.1销售情况分析'!J39</f>
        <v>7706.0786633781754</v>
      </c>
      <c r="K47" s="249">
        <f>'附表2 投资计划与资金筹措平衡表 '!$O$6/(1+'3.1销售情况分析'!$D$26)*'3.1销售情况分析'!K39</f>
        <v>3002.123052770361</v>
      </c>
      <c r="L47" s="249">
        <f>'附表2 投资计划与资金筹措平衡表 '!$O$6/(1+'3.1销售情况分析'!$D$26)*'3.1销售情况分析'!L39</f>
        <v>3002.123052770361</v>
      </c>
      <c r="M47" s="249">
        <f>'附表2 投资计划与资金筹措平衡表 '!$O$6/(1+'3.1销售情况分析'!$D$26)*'3.1销售情况分析'!M39</f>
        <v>4158.0348522770873</v>
      </c>
      <c r="N47" s="249">
        <f>'附表2 投资计划与资金筹措平衡表 '!$O$6/(1+'3.1销售情况分析'!$D$26)*'3.1销售情况分析'!N39</f>
        <v>2231.5151864325439</v>
      </c>
      <c r="O47" s="249">
        <f>'附表2 投资计划与资金筹措平衡表 '!$O$6/(1+'3.1销售情况分析'!$D$26)*'3.1销售情况分析'!O39</f>
        <v>1460.9073200947266</v>
      </c>
      <c r="P47" s="249">
        <f>'附表2 投资计划与资金筹措平衡表 '!$O$6/(1+'3.1销售情况分析'!$D$26)*'3.1销售情况分析'!P39</f>
        <v>1075.6033869258181</v>
      </c>
      <c r="Q47" s="249">
        <f>'附表2 投资计划与资金筹措平衡表 '!$O$6/(1+'3.1销售情况分析'!$D$26)*'3.1销售情况分析'!Q39</f>
        <v>690.29945375690932</v>
      </c>
      <c r="R47" s="249">
        <f>'附表2 投资计划与资金筹措平衡表 '!$O$6/(1+'3.1销售情况分析'!$D$26)*'3.1销售情况分析'!R39</f>
        <v>690.29945375690932</v>
      </c>
      <c r="S47" s="249">
        <f>'附表2 投资计划与资金筹措平衡表 '!$O$6/(1+'3.1销售情况分析'!$D$26)*'3.1销售情况分析'!S39</f>
        <v>690.29945375690932</v>
      </c>
      <c r="T47" s="249">
        <f>'附表2 投资计划与资金筹措平衡表 '!$O$6/(1+'3.1销售情况分析'!$D$26)*'3.1销售情况分析'!T39</f>
        <v>690.29945375690932</v>
      </c>
      <c r="U47" s="249">
        <f>'附表2 投资计划与资金筹措平衡表 '!$O$6/(1+'3.1销售情况分析'!$D$26)*'3.1销售情况分析'!U39</f>
        <v>690.29945375690932</v>
      </c>
      <c r="V47" s="249">
        <f>'附表2 投资计划与资金筹措平衡表 '!$O$6/(1+'3.1销售情况分析'!$D$26)*'3.1销售情况分析'!V39</f>
        <v>690.29945375690932</v>
      </c>
      <c r="W47" s="249">
        <f>'附表2 投资计划与资金筹措平衡表 '!$O$6/(1+'3.1销售情况分析'!$D$26)*'3.1销售情况分析'!W39</f>
        <v>690.29945375690932</v>
      </c>
      <c r="X47" s="249">
        <f>'附表2 投资计划与资金筹措平衡表 '!$O$6/(1+'3.1销售情况分析'!$D$26)*'3.1销售情况分析'!X39</f>
        <v>690.29945375690932</v>
      </c>
      <c r="Y47" s="249">
        <f>'附表2 投资计划与资金筹措平衡表 '!$O$6/(1+'3.1销售情况分析'!$D$26)*'3.1销售情况分析'!Y39</f>
        <v>690.29945375690932</v>
      </c>
      <c r="Z47" s="249">
        <f>'附表2 投资计划与资金筹措平衡表 '!$O$6/(1+'3.1销售情况分析'!$D$26)*'3.1销售情况分析'!Z39</f>
        <v>8396.3781171350838</v>
      </c>
      <c r="AA47" s="113"/>
      <c r="AB47" s="113"/>
      <c r="AC47" s="113"/>
      <c r="AD47" s="113"/>
      <c r="AE47" s="113"/>
      <c r="AF47" s="113"/>
      <c r="AG47" s="113"/>
      <c r="AH47" s="113"/>
      <c r="AI47" s="113"/>
      <c r="AJ47" s="113"/>
      <c r="AK47" s="113"/>
    </row>
    <row r="48" spans="2:37" s="102" customFormat="1" ht="30.75" customHeight="1">
      <c r="B48" s="619">
        <v>2.2999999999999998</v>
      </c>
      <c r="C48" s="107" t="s">
        <v>703</v>
      </c>
      <c r="D48" s="107" t="s">
        <v>707</v>
      </c>
      <c r="E48" s="620">
        <f t="shared" si="46"/>
        <v>10948.775925237424</v>
      </c>
      <c r="F48" s="613">
        <f t="shared" si="47"/>
        <v>10948.775925237424</v>
      </c>
      <c r="G48" s="249">
        <f>'附表8 总成本估算表'!E11+'附表8 总成本估算表'!E13</f>
        <v>0</v>
      </c>
      <c r="H48" s="249">
        <f>'附表8 总成本估算表'!F11+'附表8 总成本估算表'!F13</f>
        <v>94.339622641509436</v>
      </c>
      <c r="I48" s="249">
        <f>'附表8 总成本估算表'!G11+'附表8 总成本估算表'!G13</f>
        <v>94.339622641509436</v>
      </c>
      <c r="J48" s="249">
        <f>'附表8 总成本估算表'!H11+'附表8 总成本估算表'!H13</f>
        <v>1225.8969056603778</v>
      </c>
      <c r="K48" s="249">
        <f>'附表8 总成本估算表'!I11+'附表8 总成本估算表'!I13</f>
        <v>535.1700830188679</v>
      </c>
      <c r="L48" s="249">
        <f>'附表8 总成本估算表'!J11+'附表8 总成本估算表'!J13</f>
        <v>535.1700830188679</v>
      </c>
      <c r="M48" s="249">
        <f>'附表8 总成本估算表'!K11+'附表8 总成本估算表'!K13</f>
        <v>704.90367547169819</v>
      </c>
      <c r="N48" s="249">
        <f>'附表8 总成本估算表'!L11+'附表8 总成本估算表'!L13</f>
        <v>422.01435471698119</v>
      </c>
      <c r="O48" s="249">
        <f>'附表8 总成本估算表'!M11+'附表8 总成本估算表'!M13</f>
        <v>308.85862641509436</v>
      </c>
      <c r="P48" s="249">
        <f>'附表8 总成本估算表'!N11+'附表8 总成本估算表'!N13</f>
        <v>252.28076226415095</v>
      </c>
      <c r="Q48" s="249">
        <f>'附表8 总成本估算表'!O11+'附表8 总成本估算表'!O13</f>
        <v>851.46614811320774</v>
      </c>
      <c r="R48" s="249">
        <f>'附表8 总成本估算表'!P11+'附表8 总成本估算表'!P13</f>
        <v>790.19544797535161</v>
      </c>
      <c r="S48" s="249">
        <f>'附表8 总成本估算表'!Q11+'附表8 总成本估算表'!Q13</f>
        <v>728.00568733542764</v>
      </c>
      <c r="T48" s="249">
        <f>'附表8 总成本估算表'!R11+'附表8 总成本估算表'!R13</f>
        <v>664.88308028590484</v>
      </c>
      <c r="U48" s="249">
        <f>'附表8 总成本估算表'!S11+'附表8 总成本估算表'!S13</f>
        <v>600.81363413063912</v>
      </c>
      <c r="V48" s="249">
        <f>'附表8 总成本估算表'!T11+'附表8 总成本估算表'!T13</f>
        <v>535.78314628304452</v>
      </c>
      <c r="W48" s="249">
        <f>'附表8 总成本估算表'!U11+'附表8 总成本估算表'!U13</f>
        <v>469.77720111773584</v>
      </c>
      <c r="X48" s="249">
        <f>'附表8 总成本估算表'!V11+'附表8 总成本估算表'!V13</f>
        <v>402.78116677494762</v>
      </c>
      <c r="Y48" s="249">
        <f>'附表8 总成本估算表'!W11+'附表8 总成本估算表'!W13</f>
        <v>334.78019191701753</v>
      </c>
      <c r="Z48" s="249">
        <f>'附表8 总成本估算表'!X11+'附表8 总成本估算表'!X13</f>
        <v>1397.3164854550866</v>
      </c>
      <c r="AA48" s="113"/>
      <c r="AB48" s="113"/>
      <c r="AC48" s="113"/>
      <c r="AD48" s="113"/>
      <c r="AE48" s="113"/>
      <c r="AF48" s="113"/>
      <c r="AG48" s="113"/>
      <c r="AH48" s="113"/>
      <c r="AI48" s="113"/>
      <c r="AJ48" s="113"/>
      <c r="AK48" s="113"/>
    </row>
    <row r="49" spans="2:37" s="102" customFormat="1" ht="30.75" customHeight="1">
      <c r="B49" s="619">
        <v>2.4</v>
      </c>
      <c r="C49" s="107" t="s">
        <v>696</v>
      </c>
      <c r="D49" s="107" t="s">
        <v>707</v>
      </c>
      <c r="E49" s="620">
        <f t="shared" si="46"/>
        <v>19415.528743119277</v>
      </c>
      <c r="F49" s="613">
        <f t="shared" si="47"/>
        <v>19415.528743119277</v>
      </c>
      <c r="G49" s="249">
        <f t="shared" ref="G49:Z49" si="50">(G46+G47)*0.2</f>
        <v>0</v>
      </c>
      <c r="H49" s="249">
        <f t="shared" si="50"/>
        <v>0</v>
      </c>
      <c r="I49" s="249">
        <f t="shared" si="50"/>
        <v>0</v>
      </c>
      <c r="J49" s="249">
        <f t="shared" si="50"/>
        <v>4017.0693809418844</v>
      </c>
      <c r="K49" s="249">
        <f t="shared" si="50"/>
        <v>1564.9641172773693</v>
      </c>
      <c r="L49" s="249">
        <f t="shared" si="50"/>
        <v>1564.9641172773693</v>
      </c>
      <c r="M49" s="249">
        <f t="shared" si="50"/>
        <v>2167.5245244186517</v>
      </c>
      <c r="N49" s="249">
        <f t="shared" si="50"/>
        <v>1163.2571791831811</v>
      </c>
      <c r="O49" s="249">
        <f t="shared" si="50"/>
        <v>761.55024108899261</v>
      </c>
      <c r="P49" s="249">
        <f t="shared" si="50"/>
        <v>560.6967720418985</v>
      </c>
      <c r="Q49" s="249">
        <f t="shared" si="50"/>
        <v>359.84330299480428</v>
      </c>
      <c r="R49" s="249">
        <f t="shared" si="50"/>
        <v>359.84330299480428</v>
      </c>
      <c r="S49" s="249">
        <f t="shared" si="50"/>
        <v>359.84330299480428</v>
      </c>
      <c r="T49" s="249">
        <f t="shared" si="50"/>
        <v>359.84330299480428</v>
      </c>
      <c r="U49" s="249">
        <f t="shared" si="50"/>
        <v>359.84330299480428</v>
      </c>
      <c r="V49" s="249">
        <f t="shared" si="50"/>
        <v>359.84330299480428</v>
      </c>
      <c r="W49" s="249">
        <f t="shared" si="50"/>
        <v>359.84330299480428</v>
      </c>
      <c r="X49" s="249">
        <f t="shared" si="50"/>
        <v>359.84330299480428</v>
      </c>
      <c r="Y49" s="249">
        <f t="shared" si="50"/>
        <v>359.84330299480428</v>
      </c>
      <c r="Z49" s="249">
        <f t="shared" si="50"/>
        <v>4376.9126839366882</v>
      </c>
      <c r="AA49" s="113"/>
      <c r="AB49" s="113"/>
      <c r="AC49" s="113"/>
      <c r="AD49" s="113"/>
      <c r="AE49" s="113"/>
      <c r="AF49" s="113"/>
      <c r="AG49" s="113"/>
      <c r="AH49" s="113"/>
      <c r="AI49" s="113"/>
      <c r="AJ49" s="113"/>
      <c r="AK49" s="113"/>
    </row>
    <row r="50" spans="2:37" s="103" customFormat="1" ht="30.75" customHeight="1">
      <c r="B50" s="618">
        <v>3</v>
      </c>
      <c r="C50" s="108" t="s">
        <v>705</v>
      </c>
      <c r="D50" s="108" t="s">
        <v>707</v>
      </c>
      <c r="E50" s="617">
        <f t="shared" si="46"/>
        <v>-21070.322695879648</v>
      </c>
      <c r="F50" s="608">
        <f t="shared" si="47"/>
        <v>-21070.322695879648</v>
      </c>
      <c r="G50" s="249">
        <f t="shared" ref="G50:Z50" si="51">G42-G45</f>
        <v>0</v>
      </c>
      <c r="H50" s="249">
        <f t="shared" si="51"/>
        <v>-94.339622641509436</v>
      </c>
      <c r="I50" s="249">
        <f t="shared" si="51"/>
        <v>-94.339622641509436</v>
      </c>
      <c r="J50" s="249">
        <f t="shared" si="51"/>
        <v>-3320.0430995685601</v>
      </c>
      <c r="K50" s="249">
        <f t="shared" si="51"/>
        <v>-1351.0045481509733</v>
      </c>
      <c r="L50" s="249">
        <f t="shared" si="51"/>
        <v>-1351.0045481509733</v>
      </c>
      <c r="M50" s="249">
        <f t="shared" si="51"/>
        <v>-1834.8600696900303</v>
      </c>
      <c r="N50" s="249">
        <f t="shared" si="51"/>
        <v>-1028.4342004582677</v>
      </c>
      <c r="O50" s="249">
        <f t="shared" si="51"/>
        <v>-705.86385276556302</v>
      </c>
      <c r="P50" s="249">
        <f t="shared" si="51"/>
        <v>-544.57867891921069</v>
      </c>
      <c r="Q50" s="249">
        <f t="shared" si="51"/>
        <v>-1039.056755072859</v>
      </c>
      <c r="R50" s="249">
        <f t="shared" si="51"/>
        <v>-977.78605493500277</v>
      </c>
      <c r="S50" s="249">
        <f t="shared" si="51"/>
        <v>-915.59629429507891</v>
      </c>
      <c r="T50" s="249">
        <f t="shared" si="51"/>
        <v>-852.47368724555577</v>
      </c>
      <c r="U50" s="249">
        <f t="shared" si="51"/>
        <v>-788.40424109029004</v>
      </c>
      <c r="V50" s="249">
        <f t="shared" si="51"/>
        <v>-723.37375324269556</v>
      </c>
      <c r="W50" s="249">
        <f t="shared" si="51"/>
        <v>-657.36780807738683</v>
      </c>
      <c r="X50" s="249">
        <f t="shared" si="51"/>
        <v>-590.37177373459849</v>
      </c>
      <c r="Y50" s="249">
        <f t="shared" si="51"/>
        <v>-522.37079887666846</v>
      </c>
      <c r="Z50" s="249">
        <f t="shared" si="51"/>
        <v>-3679.0532863229164</v>
      </c>
      <c r="AA50" s="621"/>
      <c r="AB50" s="621"/>
      <c r="AC50" s="621"/>
      <c r="AD50" s="621"/>
      <c r="AE50" s="621"/>
      <c r="AF50" s="621"/>
      <c r="AG50" s="621"/>
      <c r="AH50" s="621"/>
      <c r="AI50" s="621"/>
      <c r="AJ50" s="621"/>
      <c r="AK50" s="621"/>
    </row>
    <row r="51" spans="2:37" s="103" customFormat="1" ht="30.75" customHeight="1">
      <c r="B51" s="618">
        <v>4</v>
      </c>
      <c r="C51" s="108" t="s">
        <v>704</v>
      </c>
      <c r="D51" s="108" t="s">
        <v>707</v>
      </c>
      <c r="E51" s="617"/>
      <c r="F51" s="608"/>
      <c r="G51" s="249"/>
      <c r="H51" s="249">
        <f t="shared" ref="H51:Z51" si="52">H50/H45</f>
        <v>-1</v>
      </c>
      <c r="I51" s="249">
        <f t="shared" si="52"/>
        <v>-1</v>
      </c>
      <c r="J51" s="249">
        <f t="shared" si="52"/>
        <v>-0.13108030821047439</v>
      </c>
      <c r="K51" s="249">
        <f t="shared" si="52"/>
        <v>-0.13612198515641585</v>
      </c>
      <c r="L51" s="249">
        <f t="shared" si="52"/>
        <v>-0.13612198515641585</v>
      </c>
      <c r="M51" s="249">
        <f t="shared" si="52"/>
        <v>-0.13383320700371829</v>
      </c>
      <c r="N51" s="249">
        <f t="shared" si="52"/>
        <v>-0.13894835110180656</v>
      </c>
      <c r="O51" s="249">
        <f t="shared" si="52"/>
        <v>-0.14469878852065615</v>
      </c>
      <c r="P51" s="249">
        <f t="shared" si="52"/>
        <v>-0.15058329662942857</v>
      </c>
      <c r="Q51" s="249">
        <f t="shared" si="52"/>
        <v>-0.34514126992404287</v>
      </c>
      <c r="R51" s="249">
        <f t="shared" si="52"/>
        <v>-0.33153659712869021</v>
      </c>
      <c r="S51" s="249">
        <f t="shared" si="52"/>
        <v>-0.31713734676712463</v>
      </c>
      <c r="T51" s="249">
        <f t="shared" si="52"/>
        <v>-0.30187355692369228</v>
      </c>
      <c r="U51" s="249">
        <f t="shared" si="52"/>
        <v>-0.28566680855984272</v>
      </c>
      <c r="V51" s="249">
        <f t="shared" si="52"/>
        <v>-0.26842890767236793</v>
      </c>
      <c r="W51" s="249">
        <f t="shared" si="52"/>
        <v>-0.25006031309837595</v>
      </c>
      <c r="X51" s="249">
        <f t="shared" si="52"/>
        <v>-0.23044825078932274</v>
      </c>
      <c r="Y51" s="249">
        <f t="shared" si="52"/>
        <v>-0.20946443910031756</v>
      </c>
      <c r="Z51" s="249">
        <f t="shared" si="52"/>
        <v>-0.13301568658409493</v>
      </c>
      <c r="AA51" s="621"/>
      <c r="AB51" s="621"/>
      <c r="AC51" s="621"/>
      <c r="AD51" s="621"/>
      <c r="AE51" s="621"/>
      <c r="AF51" s="621"/>
      <c r="AG51" s="621"/>
      <c r="AH51" s="621"/>
      <c r="AI51" s="621"/>
      <c r="AJ51" s="621"/>
      <c r="AK51" s="621"/>
    </row>
    <row r="52" spans="2:37" s="103" customFormat="1" ht="30.75" customHeight="1">
      <c r="B52" s="618">
        <v>5</v>
      </c>
      <c r="C52" s="108" t="s">
        <v>687</v>
      </c>
      <c r="D52" s="108" t="s">
        <v>707</v>
      </c>
      <c r="E52" s="617">
        <f>SUM(G52:Z52)</f>
        <v>0</v>
      </c>
      <c r="F52" s="608">
        <f>SUM(G52:Z52)</f>
        <v>0</v>
      </c>
      <c r="G52" s="249">
        <f>IF(G50&gt;0,G50*0.3,0)</f>
        <v>0</v>
      </c>
      <c r="H52" s="249">
        <f>IF(H50&gt;0,H50*0.3,0)</f>
        <v>0</v>
      </c>
      <c r="I52" s="249">
        <f t="shared" ref="I52:Z52" si="53">IF(I50&gt;0,I50*0.3,0)</f>
        <v>0</v>
      </c>
      <c r="J52" s="249">
        <f t="shared" si="53"/>
        <v>0</v>
      </c>
      <c r="K52" s="249">
        <f t="shared" si="53"/>
        <v>0</v>
      </c>
      <c r="L52" s="249">
        <f t="shared" si="53"/>
        <v>0</v>
      </c>
      <c r="M52" s="249">
        <f t="shared" si="53"/>
        <v>0</v>
      </c>
      <c r="N52" s="249">
        <f t="shared" si="53"/>
        <v>0</v>
      </c>
      <c r="O52" s="249">
        <f t="shared" si="53"/>
        <v>0</v>
      </c>
      <c r="P52" s="249">
        <f t="shared" si="53"/>
        <v>0</v>
      </c>
      <c r="Q52" s="249">
        <f t="shared" si="53"/>
        <v>0</v>
      </c>
      <c r="R52" s="249">
        <f t="shared" si="53"/>
        <v>0</v>
      </c>
      <c r="S52" s="249">
        <f t="shared" si="53"/>
        <v>0</v>
      </c>
      <c r="T52" s="249">
        <f t="shared" si="53"/>
        <v>0</v>
      </c>
      <c r="U52" s="249">
        <f t="shared" si="53"/>
        <v>0</v>
      </c>
      <c r="V52" s="249">
        <f t="shared" si="53"/>
        <v>0</v>
      </c>
      <c r="W52" s="249">
        <f t="shared" si="53"/>
        <v>0</v>
      </c>
      <c r="X52" s="249">
        <f t="shared" si="53"/>
        <v>0</v>
      </c>
      <c r="Y52" s="249">
        <f t="shared" si="53"/>
        <v>0</v>
      </c>
      <c r="Z52" s="249">
        <f t="shared" si="53"/>
        <v>0</v>
      </c>
      <c r="AA52" s="621"/>
      <c r="AB52" s="621"/>
      <c r="AC52" s="621"/>
      <c r="AD52" s="621"/>
      <c r="AE52" s="621"/>
      <c r="AF52" s="621"/>
      <c r="AG52" s="621"/>
      <c r="AH52" s="621"/>
      <c r="AI52" s="621"/>
      <c r="AJ52" s="621"/>
      <c r="AK52" s="621"/>
    </row>
    <row r="54" spans="2:37" ht="23">
      <c r="B54" s="535" t="s">
        <v>725</v>
      </c>
      <c r="C54" s="536"/>
      <c r="D54" s="536"/>
      <c r="E54" s="536"/>
      <c r="F54" s="536"/>
      <c r="G54" s="536"/>
      <c r="H54" s="536"/>
      <c r="I54" s="536"/>
      <c r="J54" s="536"/>
      <c r="K54" s="536"/>
      <c r="L54" s="536"/>
      <c r="M54" s="536"/>
      <c r="N54" s="536"/>
      <c r="O54" s="536"/>
      <c r="P54" s="536"/>
      <c r="Q54" s="536"/>
      <c r="R54" s="536"/>
      <c r="S54" s="536"/>
      <c r="T54" s="536"/>
    </row>
    <row r="55" spans="2:37" s="451" customFormat="1" ht="39">
      <c r="B55" s="575" t="s">
        <v>324</v>
      </c>
      <c r="C55" s="250" t="s">
        <v>514</v>
      </c>
      <c r="D55" s="250" t="s">
        <v>515</v>
      </c>
      <c r="E55" s="250"/>
      <c r="F55" s="250" t="s">
        <v>677</v>
      </c>
      <c r="G55" s="250" t="s">
        <v>678</v>
      </c>
      <c r="H55" s="250" t="s">
        <v>679</v>
      </c>
      <c r="I55" s="250" t="s">
        <v>680</v>
      </c>
      <c r="J55" s="250" t="s">
        <v>681</v>
      </c>
    </row>
    <row r="56" spans="2:37" ht="14.5">
      <c r="B56" s="530" t="s">
        <v>682</v>
      </c>
      <c r="C56" s="625" t="s">
        <v>674</v>
      </c>
      <c r="D56" s="242"/>
      <c r="E56" s="538"/>
      <c r="F56" s="540">
        <f>附表3营业收入汇总表!C28</f>
        <v>86949.32</v>
      </c>
      <c r="G56" s="541">
        <v>0</v>
      </c>
      <c r="H56" s="541">
        <f>F56-G56</f>
        <v>86949.32</v>
      </c>
      <c r="I56" s="541">
        <f>'0基本假设 '!L55</f>
        <v>11500</v>
      </c>
      <c r="J56" s="542">
        <f>H56*I56/10000</f>
        <v>99991.718000000008</v>
      </c>
    </row>
    <row r="57" spans="2:37" ht="14.5">
      <c r="B57" s="530" t="s">
        <v>307</v>
      </c>
      <c r="C57" s="625" t="s">
        <v>675</v>
      </c>
      <c r="D57" s="242"/>
      <c r="E57" s="538"/>
      <c r="F57" s="543">
        <f>附表3营业收入汇总表!C27</f>
        <v>16178.53</v>
      </c>
      <c r="G57" s="523">
        <v>10000</v>
      </c>
      <c r="H57" s="541">
        <f t="shared" ref="H57:H58" si="54">F57-G57</f>
        <v>6178.5300000000007</v>
      </c>
      <c r="I57" s="541">
        <f>'0基本假设 '!L56</f>
        <v>18000</v>
      </c>
      <c r="J57" s="542">
        <f t="shared" ref="J57:J58" si="55">H57*I57/10000</f>
        <v>11121.354000000001</v>
      </c>
    </row>
    <row r="58" spans="2:37" ht="14.5">
      <c r="B58" s="552" t="s">
        <v>708</v>
      </c>
      <c r="C58" s="606" t="s">
        <v>676</v>
      </c>
      <c r="D58" s="242"/>
      <c r="E58" s="538"/>
      <c r="F58" s="543">
        <f>附表3营业收入汇总表!C26</f>
        <v>796</v>
      </c>
      <c r="G58" s="523">
        <v>60</v>
      </c>
      <c r="H58" s="541">
        <f t="shared" si="54"/>
        <v>736</v>
      </c>
      <c r="I58" s="541">
        <f>'0基本假设 '!L57</f>
        <v>120000</v>
      </c>
      <c r="J58" s="542">
        <f t="shared" si="55"/>
        <v>8832</v>
      </c>
    </row>
    <row r="59" spans="2:37" ht="15" thickBot="1">
      <c r="B59" s="530"/>
      <c r="C59" s="242"/>
      <c r="D59" s="242"/>
      <c r="E59" s="539"/>
      <c r="F59" s="544"/>
      <c r="G59" s="545"/>
      <c r="H59" s="545" t="s">
        <v>513</v>
      </c>
      <c r="I59" s="546"/>
      <c r="J59" s="547">
        <f>SUM(J56:J58)</f>
        <v>119945.07200000001</v>
      </c>
    </row>
    <row r="60" spans="2:37" ht="14.5">
      <c r="C60" s="528"/>
      <c r="D60" s="528"/>
      <c r="E60" s="528"/>
      <c r="F60" s="528"/>
      <c r="G60" s="528"/>
      <c r="H60" s="528"/>
      <c r="I60" s="529"/>
      <c r="J60" s="529"/>
    </row>
    <row r="61" spans="2:37" ht="23">
      <c r="B61" s="535" t="s">
        <v>726</v>
      </c>
      <c r="C61" s="536"/>
      <c r="D61" s="536"/>
      <c r="E61" s="536"/>
      <c r="F61" s="536"/>
      <c r="G61" s="536"/>
      <c r="H61" s="536"/>
      <c r="I61" s="536"/>
      <c r="J61" s="536"/>
      <c r="K61" s="536"/>
      <c r="L61" s="536"/>
      <c r="M61" s="536"/>
      <c r="N61" s="536"/>
      <c r="O61" s="536"/>
      <c r="P61" s="536"/>
      <c r="Q61" s="536"/>
      <c r="R61" s="536"/>
      <c r="S61" s="536"/>
      <c r="T61" s="536"/>
    </row>
    <row r="62" spans="2:37" s="451" customFormat="1" ht="14.5">
      <c r="B62" s="532" t="s">
        <v>324</v>
      </c>
      <c r="C62" s="533" t="s">
        <v>514</v>
      </c>
      <c r="D62" s="532" t="s">
        <v>515</v>
      </c>
      <c r="E62" s="534"/>
      <c r="F62" s="532" t="s">
        <v>92</v>
      </c>
      <c r="G62" s="484" t="s">
        <v>477</v>
      </c>
      <c r="H62" s="484" t="s">
        <v>478</v>
      </c>
      <c r="I62" s="484" t="s">
        <v>479</v>
      </c>
      <c r="J62" s="484" t="s">
        <v>480</v>
      </c>
      <c r="K62" s="484" t="s">
        <v>483</v>
      </c>
      <c r="L62" s="484" t="s">
        <v>484</v>
      </c>
      <c r="M62" s="484" t="s">
        <v>485</v>
      </c>
      <c r="N62" s="484" t="s">
        <v>486</v>
      </c>
      <c r="O62" s="484" t="s">
        <v>487</v>
      </c>
      <c r="P62" s="484" t="s">
        <v>488</v>
      </c>
      <c r="Q62" s="484" t="s">
        <v>489</v>
      </c>
      <c r="R62" s="484" t="s">
        <v>490</v>
      </c>
      <c r="S62" s="484" t="s">
        <v>491</v>
      </c>
      <c r="T62" s="484" t="s">
        <v>492</v>
      </c>
      <c r="U62" s="484" t="s">
        <v>507</v>
      </c>
      <c r="V62" s="484" t="s">
        <v>508</v>
      </c>
      <c r="W62" s="484" t="s">
        <v>509</v>
      </c>
      <c r="X62" s="484" t="s">
        <v>510</v>
      </c>
      <c r="Y62" s="484" t="s">
        <v>511</v>
      </c>
      <c r="Z62" s="484" t="s">
        <v>512</v>
      </c>
    </row>
    <row r="63" spans="2:37" ht="14.5">
      <c r="B63" s="624">
        <v>1</v>
      </c>
      <c r="C63" s="625" t="s">
        <v>674</v>
      </c>
      <c r="D63" s="626"/>
      <c r="E63" s="626"/>
      <c r="F63" s="627">
        <f>SUM(G63:Z63)</f>
        <v>1.0000000000000002</v>
      </c>
      <c r="G63" s="627"/>
      <c r="H63" s="627"/>
      <c r="I63" s="627"/>
      <c r="J63" s="627">
        <v>0.4</v>
      </c>
      <c r="K63" s="627">
        <v>0.08</v>
      </c>
      <c r="L63" s="627">
        <v>0.08</v>
      </c>
      <c r="M63" s="627">
        <v>0.11</v>
      </c>
      <c r="N63" s="627">
        <v>0.06</v>
      </c>
      <c r="O63" s="627">
        <v>0.04</v>
      </c>
      <c r="P63" s="627">
        <v>0.03</v>
      </c>
      <c r="Q63" s="627">
        <v>0.02</v>
      </c>
      <c r="R63" s="627">
        <v>0.02</v>
      </c>
      <c r="S63" s="627">
        <v>0.02</v>
      </c>
      <c r="T63" s="627">
        <v>0.02</v>
      </c>
      <c r="U63" s="627">
        <v>0.02</v>
      </c>
      <c r="V63" s="627">
        <v>0.02</v>
      </c>
      <c r="W63" s="627">
        <v>0.02</v>
      </c>
      <c r="X63" s="627">
        <v>0.02</v>
      </c>
      <c r="Y63" s="627">
        <v>0.02</v>
      </c>
      <c r="Z63" s="627">
        <v>0.02</v>
      </c>
      <c r="AA63" s="623"/>
      <c r="AB63" s="548"/>
    </row>
    <row r="64" spans="2:37" ht="14.5">
      <c r="B64" s="628">
        <v>2</v>
      </c>
      <c r="C64" s="625" t="s">
        <v>675</v>
      </c>
      <c r="D64" s="626"/>
      <c r="E64" s="626"/>
      <c r="F64" s="627">
        <f>SUM(G64:Z64)</f>
        <v>1.0000000000000002</v>
      </c>
      <c r="G64" s="627"/>
      <c r="H64" s="627"/>
      <c r="I64" s="627"/>
      <c r="J64" s="627">
        <v>0.4</v>
      </c>
      <c r="K64" s="627">
        <v>0.08</v>
      </c>
      <c r="L64" s="627">
        <v>0.08</v>
      </c>
      <c r="M64" s="627">
        <v>0.11</v>
      </c>
      <c r="N64" s="627">
        <v>0.06</v>
      </c>
      <c r="O64" s="627">
        <v>0.04</v>
      </c>
      <c r="P64" s="627">
        <v>0.03</v>
      </c>
      <c r="Q64" s="627">
        <v>0.02</v>
      </c>
      <c r="R64" s="627">
        <v>0.02</v>
      </c>
      <c r="S64" s="627">
        <v>0.02</v>
      </c>
      <c r="T64" s="627">
        <v>0.02</v>
      </c>
      <c r="U64" s="627">
        <v>0.02</v>
      </c>
      <c r="V64" s="627">
        <v>0.02</v>
      </c>
      <c r="W64" s="627">
        <v>0.02</v>
      </c>
      <c r="X64" s="627">
        <v>0.02</v>
      </c>
      <c r="Y64" s="627">
        <v>0.02</v>
      </c>
      <c r="Z64" s="627">
        <v>0.02</v>
      </c>
    </row>
    <row r="65" spans="2:26" ht="14.5">
      <c r="B65" s="628">
        <v>3</v>
      </c>
      <c r="C65" s="625" t="s">
        <v>676</v>
      </c>
      <c r="D65" s="626"/>
      <c r="E65" s="626"/>
      <c r="F65" s="627">
        <f>SUM(G65:Z65)</f>
        <v>1.0000000000000002</v>
      </c>
      <c r="G65" s="627"/>
      <c r="H65" s="627"/>
      <c r="I65" s="627"/>
      <c r="J65" s="627">
        <v>0.4</v>
      </c>
      <c r="K65" s="627">
        <v>0.08</v>
      </c>
      <c r="L65" s="627">
        <v>0.08</v>
      </c>
      <c r="M65" s="627">
        <v>0.11</v>
      </c>
      <c r="N65" s="627">
        <v>0.06</v>
      </c>
      <c r="O65" s="627">
        <v>0.04</v>
      </c>
      <c r="P65" s="627">
        <v>0.03</v>
      </c>
      <c r="Q65" s="627">
        <v>0.02</v>
      </c>
      <c r="R65" s="627">
        <v>0.02</v>
      </c>
      <c r="S65" s="627">
        <v>0.02</v>
      </c>
      <c r="T65" s="627">
        <v>0.02</v>
      </c>
      <c r="U65" s="627">
        <v>0.02</v>
      </c>
      <c r="V65" s="627">
        <v>0.02</v>
      </c>
      <c r="W65" s="627">
        <v>0.02</v>
      </c>
      <c r="X65" s="627">
        <v>0.02</v>
      </c>
      <c r="Y65" s="627">
        <v>0.02</v>
      </c>
      <c r="Z65" s="627">
        <v>0.02</v>
      </c>
    </row>
    <row r="66" spans="2:26" ht="13.5" customHeight="1"/>
    <row r="67" spans="2:26" ht="13.5" customHeight="1"/>
    <row r="68" spans="2:26" ht="26.25" customHeight="1">
      <c r="B68" s="535" t="s">
        <v>754</v>
      </c>
    </row>
    <row r="69" spans="2:26" ht="13.5" customHeight="1">
      <c r="B69" s="532" t="s">
        <v>324</v>
      </c>
      <c r="C69" s="533" t="s">
        <v>514</v>
      </c>
      <c r="D69" s="532" t="s">
        <v>515</v>
      </c>
      <c r="E69" s="534"/>
      <c r="F69" s="532" t="s">
        <v>92</v>
      </c>
      <c r="G69" s="484" t="s">
        <v>477</v>
      </c>
      <c r="H69" s="484" t="s">
        <v>478</v>
      </c>
      <c r="I69" s="484" t="s">
        <v>479</v>
      </c>
      <c r="J69" s="484" t="s">
        <v>480</v>
      </c>
      <c r="K69" s="484" t="s">
        <v>483</v>
      </c>
      <c r="L69" s="484" t="s">
        <v>484</v>
      </c>
      <c r="M69" s="484" t="s">
        <v>485</v>
      </c>
      <c r="N69" s="484" t="s">
        <v>486</v>
      </c>
      <c r="O69" s="484" t="s">
        <v>487</v>
      </c>
      <c r="P69" s="484" t="s">
        <v>488</v>
      </c>
      <c r="Q69" s="484" t="s">
        <v>489</v>
      </c>
      <c r="R69" s="484" t="s">
        <v>490</v>
      </c>
      <c r="S69" s="484" t="s">
        <v>491</v>
      </c>
      <c r="T69" s="484" t="s">
        <v>492</v>
      </c>
      <c r="U69" s="484" t="s">
        <v>507</v>
      </c>
      <c r="V69" s="484" t="s">
        <v>508</v>
      </c>
      <c r="W69" s="484" t="s">
        <v>509</v>
      </c>
      <c r="X69" s="484" t="s">
        <v>510</v>
      </c>
      <c r="Y69" s="484" t="s">
        <v>511</v>
      </c>
      <c r="Z69" s="484" t="s">
        <v>512</v>
      </c>
    </row>
    <row r="70" spans="2:26" ht="13.5" customHeight="1">
      <c r="B70" s="624">
        <v>1</v>
      </c>
      <c r="C70" s="625" t="s">
        <v>752</v>
      </c>
      <c r="D70" s="626"/>
      <c r="E70" s="626"/>
      <c r="F70" s="627"/>
      <c r="G70" s="627">
        <f>G63</f>
        <v>0</v>
      </c>
      <c r="H70" s="627">
        <f>G70+H63</f>
        <v>0</v>
      </c>
      <c r="I70" s="627">
        <f t="shared" ref="I70:Z70" si="56">H70+I63</f>
        <v>0</v>
      </c>
      <c r="J70" s="627">
        <f t="shared" si="56"/>
        <v>0.4</v>
      </c>
      <c r="K70" s="627">
        <f t="shared" si="56"/>
        <v>0.48000000000000004</v>
      </c>
      <c r="L70" s="627">
        <f t="shared" si="56"/>
        <v>0.56000000000000005</v>
      </c>
      <c r="M70" s="627">
        <f t="shared" si="56"/>
        <v>0.67</v>
      </c>
      <c r="N70" s="627">
        <f t="shared" si="56"/>
        <v>0.73</v>
      </c>
      <c r="O70" s="627">
        <f t="shared" si="56"/>
        <v>0.77</v>
      </c>
      <c r="P70" s="627">
        <f t="shared" si="56"/>
        <v>0.8</v>
      </c>
      <c r="Q70" s="627">
        <f t="shared" si="56"/>
        <v>0.82000000000000006</v>
      </c>
      <c r="R70" s="627">
        <f t="shared" si="56"/>
        <v>0.84000000000000008</v>
      </c>
      <c r="S70" s="627">
        <f t="shared" si="56"/>
        <v>0.8600000000000001</v>
      </c>
      <c r="T70" s="627">
        <f t="shared" si="56"/>
        <v>0.88000000000000012</v>
      </c>
      <c r="U70" s="627">
        <f t="shared" si="56"/>
        <v>0.90000000000000013</v>
      </c>
      <c r="V70" s="627">
        <f t="shared" si="56"/>
        <v>0.92000000000000015</v>
      </c>
      <c r="W70" s="627">
        <f t="shared" si="56"/>
        <v>0.94000000000000017</v>
      </c>
      <c r="X70" s="627">
        <f t="shared" si="56"/>
        <v>0.96000000000000019</v>
      </c>
      <c r="Y70" s="627">
        <f t="shared" si="56"/>
        <v>0.9800000000000002</v>
      </c>
      <c r="Z70" s="627">
        <f t="shared" si="56"/>
        <v>1.0000000000000002</v>
      </c>
    </row>
    <row r="71" spans="2:26" ht="13.5" customHeight="1">
      <c r="B71" s="624"/>
      <c r="C71" s="625" t="s">
        <v>753</v>
      </c>
      <c r="D71" s="626"/>
      <c r="E71" s="626"/>
      <c r="F71" s="627">
        <f>SUM(G71:Z71)</f>
        <v>1.0000000000000002</v>
      </c>
      <c r="G71" s="627"/>
      <c r="H71" s="627">
        <f t="shared" ref="H71:J71" si="57">IF(AND(H70&gt;=20%,G70&lt;20%),H70-20%,IF(AND(H70&gt;20%,G70&gt;=20%),H63,0))</f>
        <v>0</v>
      </c>
      <c r="I71" s="627">
        <f t="shared" si="57"/>
        <v>0</v>
      </c>
      <c r="J71" s="627">
        <f t="shared" si="57"/>
        <v>0.2</v>
      </c>
      <c r="K71" s="627">
        <f>IF(AND(K70&gt;=20%,J70&lt;20%),K70-20%,IF(AND(K70&gt;20%,J70&gt;=20%),K63,0))</f>
        <v>0.08</v>
      </c>
      <c r="L71" s="627">
        <f t="shared" ref="L71:Y71" si="58">IF(AND(L70&gt;=20%,K70&lt;20%),L70-20%,IF(AND(L70&gt;20%,K70&gt;=20%),L63,0))</f>
        <v>0.08</v>
      </c>
      <c r="M71" s="627">
        <f t="shared" si="58"/>
        <v>0.11</v>
      </c>
      <c r="N71" s="627">
        <f t="shared" si="58"/>
        <v>0.06</v>
      </c>
      <c r="O71" s="627">
        <f t="shared" si="58"/>
        <v>0.04</v>
      </c>
      <c r="P71" s="627">
        <f t="shared" si="58"/>
        <v>0.03</v>
      </c>
      <c r="Q71" s="627">
        <f t="shared" si="58"/>
        <v>0.02</v>
      </c>
      <c r="R71" s="627">
        <f t="shared" si="58"/>
        <v>0.02</v>
      </c>
      <c r="S71" s="627">
        <f t="shared" si="58"/>
        <v>0.02</v>
      </c>
      <c r="T71" s="627">
        <f t="shared" si="58"/>
        <v>0.02</v>
      </c>
      <c r="U71" s="627">
        <f t="shared" si="58"/>
        <v>0.02</v>
      </c>
      <c r="V71" s="627">
        <f t="shared" si="58"/>
        <v>0.02</v>
      </c>
      <c r="W71" s="627">
        <f t="shared" si="58"/>
        <v>0.02</v>
      </c>
      <c r="X71" s="627">
        <f t="shared" si="58"/>
        <v>0.02</v>
      </c>
      <c r="Y71" s="627">
        <f t="shared" si="58"/>
        <v>0.02</v>
      </c>
      <c r="Z71" s="627">
        <f>Z63+20%</f>
        <v>0.22</v>
      </c>
    </row>
    <row r="72" spans="2:26" ht="13.5" customHeight="1">
      <c r="B72" s="628">
        <v>2</v>
      </c>
      <c r="C72" s="625" t="s">
        <v>675</v>
      </c>
      <c r="D72" s="626"/>
      <c r="E72" s="626"/>
      <c r="F72" s="627"/>
      <c r="G72" s="627">
        <f>G64</f>
        <v>0</v>
      </c>
      <c r="H72" s="627">
        <f>G72+H64</f>
        <v>0</v>
      </c>
      <c r="I72" s="627">
        <f t="shared" ref="I72:Z72" si="59">H72+I64</f>
        <v>0</v>
      </c>
      <c r="J72" s="627">
        <f t="shared" si="59"/>
        <v>0.4</v>
      </c>
      <c r="K72" s="627">
        <f t="shared" si="59"/>
        <v>0.48000000000000004</v>
      </c>
      <c r="L72" s="627">
        <f t="shared" si="59"/>
        <v>0.56000000000000005</v>
      </c>
      <c r="M72" s="627">
        <f t="shared" si="59"/>
        <v>0.67</v>
      </c>
      <c r="N72" s="627">
        <f t="shared" si="59"/>
        <v>0.73</v>
      </c>
      <c r="O72" s="627">
        <f t="shared" si="59"/>
        <v>0.77</v>
      </c>
      <c r="P72" s="627">
        <f t="shared" si="59"/>
        <v>0.8</v>
      </c>
      <c r="Q72" s="627">
        <f t="shared" si="59"/>
        <v>0.82000000000000006</v>
      </c>
      <c r="R72" s="627">
        <f t="shared" si="59"/>
        <v>0.84000000000000008</v>
      </c>
      <c r="S72" s="627">
        <f t="shared" si="59"/>
        <v>0.8600000000000001</v>
      </c>
      <c r="T72" s="627">
        <f t="shared" si="59"/>
        <v>0.88000000000000012</v>
      </c>
      <c r="U72" s="627">
        <f t="shared" si="59"/>
        <v>0.90000000000000013</v>
      </c>
      <c r="V72" s="627">
        <f t="shared" si="59"/>
        <v>0.92000000000000015</v>
      </c>
      <c r="W72" s="627">
        <f t="shared" si="59"/>
        <v>0.94000000000000017</v>
      </c>
      <c r="X72" s="627">
        <f t="shared" si="59"/>
        <v>0.96000000000000019</v>
      </c>
      <c r="Y72" s="627">
        <f t="shared" si="59"/>
        <v>0.9800000000000002</v>
      </c>
      <c r="Z72" s="627">
        <f t="shared" si="59"/>
        <v>1.0000000000000002</v>
      </c>
    </row>
    <row r="73" spans="2:26" ht="13.5" customHeight="1">
      <c r="B73" s="628"/>
      <c r="C73" s="625" t="s">
        <v>753</v>
      </c>
      <c r="D73" s="626"/>
      <c r="E73" s="626"/>
      <c r="F73" s="627">
        <f t="shared" ref="F73:F75" si="60">SUM(G73:Z73)</f>
        <v>1.0000000000000002</v>
      </c>
      <c r="G73" s="627"/>
      <c r="H73" s="627">
        <f t="shared" ref="H73:J73" si="61">IF(AND(H72&gt;=20%,G72&lt;20%),H72-20%,IF(AND(H72&gt;20%,G72&gt;=20%),H64,0))</f>
        <v>0</v>
      </c>
      <c r="I73" s="627">
        <f t="shared" si="61"/>
        <v>0</v>
      </c>
      <c r="J73" s="627">
        <f t="shared" si="61"/>
        <v>0.2</v>
      </c>
      <c r="K73" s="627">
        <f>IF(AND(K72&gt;=20%,J72&lt;20%),K72-20%,IF(AND(K72&gt;20%,J72&gt;=20%),K64,0))</f>
        <v>0.08</v>
      </c>
      <c r="L73" s="627">
        <f t="shared" ref="L73:Y73" si="62">IF(AND(L72&gt;=20%,K72&lt;20%),L72-20%,IF(AND(L72&gt;20%,K72&gt;=20%),L64,0))</f>
        <v>0.08</v>
      </c>
      <c r="M73" s="627">
        <f t="shared" si="62"/>
        <v>0.11</v>
      </c>
      <c r="N73" s="627">
        <f t="shared" si="62"/>
        <v>0.06</v>
      </c>
      <c r="O73" s="627">
        <f t="shared" si="62"/>
        <v>0.04</v>
      </c>
      <c r="P73" s="627">
        <f t="shared" si="62"/>
        <v>0.03</v>
      </c>
      <c r="Q73" s="627">
        <f t="shared" si="62"/>
        <v>0.02</v>
      </c>
      <c r="R73" s="627">
        <f t="shared" si="62"/>
        <v>0.02</v>
      </c>
      <c r="S73" s="627">
        <f t="shared" si="62"/>
        <v>0.02</v>
      </c>
      <c r="T73" s="627">
        <f t="shared" si="62"/>
        <v>0.02</v>
      </c>
      <c r="U73" s="627">
        <f t="shared" si="62"/>
        <v>0.02</v>
      </c>
      <c r="V73" s="627">
        <f t="shared" si="62"/>
        <v>0.02</v>
      </c>
      <c r="W73" s="627">
        <f t="shared" si="62"/>
        <v>0.02</v>
      </c>
      <c r="X73" s="627">
        <f t="shared" si="62"/>
        <v>0.02</v>
      </c>
      <c r="Y73" s="627">
        <f t="shared" si="62"/>
        <v>0.02</v>
      </c>
      <c r="Z73" s="627">
        <f>Z64+20%</f>
        <v>0.22</v>
      </c>
    </row>
    <row r="74" spans="2:26" ht="13.5" customHeight="1">
      <c r="B74" s="628">
        <v>3</v>
      </c>
      <c r="C74" s="625" t="s">
        <v>676</v>
      </c>
      <c r="D74" s="626"/>
      <c r="E74" s="626"/>
      <c r="F74" s="627"/>
      <c r="G74" s="627">
        <f>G65</f>
        <v>0</v>
      </c>
      <c r="H74" s="627">
        <f>G74+H65</f>
        <v>0</v>
      </c>
      <c r="I74" s="627">
        <f t="shared" ref="I74:Z74" si="63">H74+I65</f>
        <v>0</v>
      </c>
      <c r="J74" s="627">
        <f t="shared" si="63"/>
        <v>0.4</v>
      </c>
      <c r="K74" s="627">
        <f t="shared" si="63"/>
        <v>0.48000000000000004</v>
      </c>
      <c r="L74" s="627">
        <f t="shared" si="63"/>
        <v>0.56000000000000005</v>
      </c>
      <c r="M74" s="627">
        <f t="shared" si="63"/>
        <v>0.67</v>
      </c>
      <c r="N74" s="627">
        <f t="shared" si="63"/>
        <v>0.73</v>
      </c>
      <c r="O74" s="627">
        <f t="shared" si="63"/>
        <v>0.77</v>
      </c>
      <c r="P74" s="627">
        <f t="shared" si="63"/>
        <v>0.8</v>
      </c>
      <c r="Q74" s="627">
        <f t="shared" si="63"/>
        <v>0.82000000000000006</v>
      </c>
      <c r="R74" s="627">
        <f t="shared" si="63"/>
        <v>0.84000000000000008</v>
      </c>
      <c r="S74" s="627">
        <f t="shared" si="63"/>
        <v>0.8600000000000001</v>
      </c>
      <c r="T74" s="627">
        <f t="shared" si="63"/>
        <v>0.88000000000000012</v>
      </c>
      <c r="U74" s="627">
        <f t="shared" si="63"/>
        <v>0.90000000000000013</v>
      </c>
      <c r="V74" s="627">
        <f t="shared" si="63"/>
        <v>0.92000000000000015</v>
      </c>
      <c r="W74" s="627">
        <f t="shared" si="63"/>
        <v>0.94000000000000017</v>
      </c>
      <c r="X74" s="627">
        <f t="shared" si="63"/>
        <v>0.96000000000000019</v>
      </c>
      <c r="Y74" s="627">
        <f t="shared" si="63"/>
        <v>0.9800000000000002</v>
      </c>
      <c r="Z74" s="627">
        <f t="shared" si="63"/>
        <v>1.0000000000000002</v>
      </c>
    </row>
    <row r="75" spans="2:26" ht="13.5" customHeight="1">
      <c r="B75" s="628"/>
      <c r="C75" s="625" t="s">
        <v>753</v>
      </c>
      <c r="D75" s="248"/>
      <c r="E75" s="248"/>
      <c r="F75" s="627">
        <f t="shared" si="60"/>
        <v>1.0000000000000002</v>
      </c>
      <c r="G75" s="248"/>
      <c r="H75" s="627">
        <f t="shared" ref="H75:J75" si="64">IF(AND(H74&gt;=20%,G74&lt;20%),H74-20%,IF(AND(H74&gt;20%,G74&gt;=20%),H65,0))</f>
        <v>0</v>
      </c>
      <c r="I75" s="627">
        <f t="shared" si="64"/>
        <v>0</v>
      </c>
      <c r="J75" s="627">
        <f t="shared" si="64"/>
        <v>0.2</v>
      </c>
      <c r="K75" s="627">
        <f>IF(AND(K74&gt;=20%,J74&lt;20%),K74-20%,IF(AND(K74&gt;20%,J74&gt;=20%),K65,0))</f>
        <v>0.08</v>
      </c>
      <c r="L75" s="627">
        <f t="shared" ref="L75:Y75" si="65">IF(AND(L74&gt;=20%,K74&lt;20%),L74-20%,IF(AND(L74&gt;20%,K74&gt;=20%),L65,0))</f>
        <v>0.08</v>
      </c>
      <c r="M75" s="627">
        <f t="shared" si="65"/>
        <v>0.11</v>
      </c>
      <c r="N75" s="627">
        <f t="shared" si="65"/>
        <v>0.06</v>
      </c>
      <c r="O75" s="627">
        <f t="shared" si="65"/>
        <v>0.04</v>
      </c>
      <c r="P75" s="627">
        <f t="shared" si="65"/>
        <v>0.03</v>
      </c>
      <c r="Q75" s="627">
        <f t="shared" si="65"/>
        <v>0.02</v>
      </c>
      <c r="R75" s="627">
        <f t="shared" si="65"/>
        <v>0.02</v>
      </c>
      <c r="S75" s="627">
        <f t="shared" si="65"/>
        <v>0.02</v>
      </c>
      <c r="T75" s="627">
        <f t="shared" si="65"/>
        <v>0.02</v>
      </c>
      <c r="U75" s="627">
        <f t="shared" si="65"/>
        <v>0.02</v>
      </c>
      <c r="V75" s="627">
        <f t="shared" si="65"/>
        <v>0.02</v>
      </c>
      <c r="W75" s="627">
        <f t="shared" si="65"/>
        <v>0.02</v>
      </c>
      <c r="X75" s="627">
        <f t="shared" si="65"/>
        <v>0.02</v>
      </c>
      <c r="Y75" s="627">
        <f t="shared" si="65"/>
        <v>0.02</v>
      </c>
      <c r="Z75" s="627">
        <f>Z65+20%</f>
        <v>0.22</v>
      </c>
    </row>
    <row r="76" spans="2:26" ht="13.5" customHeight="1"/>
    <row r="77" spans="2:26" ht="23">
      <c r="B77" s="535" t="s">
        <v>755</v>
      </c>
      <c r="C77" s="536"/>
      <c r="D77" s="536"/>
      <c r="E77" s="536"/>
      <c r="F77" s="536"/>
      <c r="G77" s="536"/>
      <c r="H77" s="536"/>
      <c r="I77" s="536"/>
      <c r="J77" s="536"/>
      <c r="K77" s="536"/>
      <c r="L77" s="536"/>
      <c r="M77" s="536"/>
      <c r="N77" s="536"/>
      <c r="O77" s="536"/>
      <c r="P77" s="536"/>
      <c r="Q77" s="536"/>
      <c r="R77" s="536"/>
      <c r="S77" s="536"/>
      <c r="T77" s="536"/>
    </row>
    <row r="78" spans="2:26" s="451" customFormat="1" ht="14.5">
      <c r="B78" s="532" t="s">
        <v>324</v>
      </c>
      <c r="C78" s="533" t="s">
        <v>514</v>
      </c>
      <c r="D78" s="532" t="s">
        <v>515</v>
      </c>
      <c r="E78" s="534"/>
      <c r="F78" s="537" t="s">
        <v>683</v>
      </c>
      <c r="G78" s="484" t="s">
        <v>477</v>
      </c>
      <c r="H78" s="484" t="s">
        <v>478</v>
      </c>
      <c r="I78" s="484" t="s">
        <v>479</v>
      </c>
      <c r="J78" s="484" t="s">
        <v>480</v>
      </c>
      <c r="K78" s="484" t="s">
        <v>483</v>
      </c>
      <c r="L78" s="484" t="s">
        <v>484</v>
      </c>
      <c r="M78" s="484" t="s">
        <v>485</v>
      </c>
      <c r="N78" s="484" t="s">
        <v>486</v>
      </c>
      <c r="O78" s="484" t="s">
        <v>487</v>
      </c>
      <c r="P78" s="484" t="s">
        <v>488</v>
      </c>
      <c r="Q78" s="484" t="s">
        <v>489</v>
      </c>
      <c r="R78" s="484" t="s">
        <v>490</v>
      </c>
      <c r="S78" s="484" t="s">
        <v>491</v>
      </c>
      <c r="T78" s="484" t="s">
        <v>492</v>
      </c>
      <c r="U78" s="484" t="s">
        <v>507</v>
      </c>
      <c r="V78" s="484" t="s">
        <v>508</v>
      </c>
      <c r="W78" s="484" t="s">
        <v>509</v>
      </c>
      <c r="X78" s="484" t="s">
        <v>510</v>
      </c>
      <c r="Y78" s="484" t="s">
        <v>511</v>
      </c>
      <c r="Z78" s="484" t="s">
        <v>512</v>
      </c>
    </row>
    <row r="79" spans="2:26" ht="14.5">
      <c r="B79" s="628">
        <v>1</v>
      </c>
      <c r="C79" s="625" t="s">
        <v>674</v>
      </c>
      <c r="D79" s="626"/>
      <c r="E79" s="626"/>
      <c r="F79" s="629">
        <f>SUM(G79:Z79)</f>
        <v>95991.717999999979</v>
      </c>
      <c r="G79" s="629">
        <f t="shared" ref="G79:I79" si="66">$J$56*G71</f>
        <v>0</v>
      </c>
      <c r="H79" s="629">
        <f t="shared" si="66"/>
        <v>0</v>
      </c>
      <c r="I79" s="629">
        <f t="shared" si="66"/>
        <v>0</v>
      </c>
      <c r="J79" s="629">
        <f>$J$56*J71</f>
        <v>19998.343600000004</v>
      </c>
      <c r="K79" s="629">
        <f>$J$56*K71-250</f>
        <v>7749.3374400000012</v>
      </c>
      <c r="L79" s="629">
        <f t="shared" ref="L79:Z79" si="67">$J$56*L71-250</f>
        <v>7749.3374400000012</v>
      </c>
      <c r="M79" s="629">
        <f t="shared" si="67"/>
        <v>10749.08898</v>
      </c>
      <c r="N79" s="629">
        <f t="shared" si="67"/>
        <v>5749.5030800000004</v>
      </c>
      <c r="O79" s="629">
        <f t="shared" si="67"/>
        <v>3749.6687200000006</v>
      </c>
      <c r="P79" s="629">
        <f t="shared" si="67"/>
        <v>2749.7515400000002</v>
      </c>
      <c r="Q79" s="629">
        <f t="shared" si="67"/>
        <v>1749.8343600000003</v>
      </c>
      <c r="R79" s="629">
        <f t="shared" si="67"/>
        <v>1749.8343600000003</v>
      </c>
      <c r="S79" s="629">
        <f t="shared" si="67"/>
        <v>1749.8343600000003</v>
      </c>
      <c r="T79" s="629">
        <f t="shared" si="67"/>
        <v>1749.8343600000003</v>
      </c>
      <c r="U79" s="629">
        <f t="shared" si="67"/>
        <v>1749.8343600000003</v>
      </c>
      <c r="V79" s="629">
        <f t="shared" si="67"/>
        <v>1749.8343600000003</v>
      </c>
      <c r="W79" s="629">
        <f t="shared" si="67"/>
        <v>1749.8343600000003</v>
      </c>
      <c r="X79" s="629">
        <f t="shared" si="67"/>
        <v>1749.8343600000003</v>
      </c>
      <c r="Y79" s="629">
        <f t="shared" si="67"/>
        <v>1749.8343600000003</v>
      </c>
      <c r="Z79" s="629">
        <f t="shared" si="67"/>
        <v>21748.177960000001</v>
      </c>
    </row>
    <row r="80" spans="2:26" ht="14.5">
      <c r="B80" s="628">
        <v>2</v>
      </c>
      <c r="C80" s="625" t="s">
        <v>675</v>
      </c>
      <c r="D80" s="626"/>
      <c r="E80" s="626"/>
      <c r="F80" s="629">
        <f>SUM(G80:Z80)</f>
        <v>11121.354000000001</v>
      </c>
      <c r="G80" s="629">
        <f t="shared" ref="G80:Z80" si="68">$J$57*G73</f>
        <v>0</v>
      </c>
      <c r="H80" s="629">
        <f t="shared" si="68"/>
        <v>0</v>
      </c>
      <c r="I80" s="629">
        <f t="shared" si="68"/>
        <v>0</v>
      </c>
      <c r="J80" s="629">
        <f>$J$57*J73</f>
        <v>2224.2708000000002</v>
      </c>
      <c r="K80" s="629">
        <f t="shared" si="68"/>
        <v>889.70832000000007</v>
      </c>
      <c r="L80" s="629">
        <f t="shared" si="68"/>
        <v>889.70832000000007</v>
      </c>
      <c r="M80" s="629">
        <f t="shared" si="68"/>
        <v>1223.3489400000001</v>
      </c>
      <c r="N80" s="629">
        <f t="shared" si="68"/>
        <v>667.28124000000003</v>
      </c>
      <c r="O80" s="629">
        <f t="shared" si="68"/>
        <v>444.85416000000004</v>
      </c>
      <c r="P80" s="629">
        <f t="shared" si="68"/>
        <v>333.64062000000001</v>
      </c>
      <c r="Q80" s="629">
        <f t="shared" si="68"/>
        <v>222.42708000000002</v>
      </c>
      <c r="R80" s="629">
        <f t="shared" si="68"/>
        <v>222.42708000000002</v>
      </c>
      <c r="S80" s="629">
        <f t="shared" si="68"/>
        <v>222.42708000000002</v>
      </c>
      <c r="T80" s="629">
        <f t="shared" si="68"/>
        <v>222.42708000000002</v>
      </c>
      <c r="U80" s="629">
        <f t="shared" si="68"/>
        <v>222.42708000000002</v>
      </c>
      <c r="V80" s="629">
        <f t="shared" si="68"/>
        <v>222.42708000000002</v>
      </c>
      <c r="W80" s="629">
        <f t="shared" si="68"/>
        <v>222.42708000000002</v>
      </c>
      <c r="X80" s="629">
        <f t="shared" si="68"/>
        <v>222.42708000000002</v>
      </c>
      <c r="Y80" s="629">
        <f t="shared" si="68"/>
        <v>222.42708000000002</v>
      </c>
      <c r="Z80" s="629">
        <f t="shared" si="68"/>
        <v>2446.6978800000002</v>
      </c>
    </row>
    <row r="81" spans="1:26" ht="14.5">
      <c r="B81" s="628">
        <v>3</v>
      </c>
      <c r="C81" s="625" t="s">
        <v>676</v>
      </c>
      <c r="D81" s="626"/>
      <c r="E81" s="626"/>
      <c r="F81" s="629">
        <f>SUM(G81:Z81)</f>
        <v>8832.0000000000036</v>
      </c>
      <c r="G81" s="629">
        <f t="shared" ref="G81:I81" si="69">$J$58*G75</f>
        <v>0</v>
      </c>
      <c r="H81" s="629">
        <f t="shared" si="69"/>
        <v>0</v>
      </c>
      <c r="I81" s="629">
        <f t="shared" si="69"/>
        <v>0</v>
      </c>
      <c r="J81" s="629">
        <f>$J$58*J75</f>
        <v>1766.4</v>
      </c>
      <c r="K81" s="629">
        <f t="shared" ref="K81:Z81" si="70">$J$58*K75</f>
        <v>706.56000000000006</v>
      </c>
      <c r="L81" s="629">
        <f t="shared" si="70"/>
        <v>706.56000000000006</v>
      </c>
      <c r="M81" s="629">
        <f t="shared" si="70"/>
        <v>971.52</v>
      </c>
      <c r="N81" s="629">
        <f t="shared" si="70"/>
        <v>529.91999999999996</v>
      </c>
      <c r="O81" s="629">
        <f t="shared" si="70"/>
        <v>353.28000000000003</v>
      </c>
      <c r="P81" s="629">
        <f t="shared" si="70"/>
        <v>264.95999999999998</v>
      </c>
      <c r="Q81" s="629">
        <f t="shared" si="70"/>
        <v>176.64000000000001</v>
      </c>
      <c r="R81" s="629">
        <f t="shared" si="70"/>
        <v>176.64000000000001</v>
      </c>
      <c r="S81" s="629">
        <f t="shared" si="70"/>
        <v>176.64000000000001</v>
      </c>
      <c r="T81" s="629">
        <f t="shared" si="70"/>
        <v>176.64000000000001</v>
      </c>
      <c r="U81" s="629">
        <f t="shared" si="70"/>
        <v>176.64000000000001</v>
      </c>
      <c r="V81" s="629">
        <f t="shared" si="70"/>
        <v>176.64000000000001</v>
      </c>
      <c r="W81" s="629">
        <f t="shared" si="70"/>
        <v>176.64000000000001</v>
      </c>
      <c r="X81" s="629">
        <f t="shared" si="70"/>
        <v>176.64000000000001</v>
      </c>
      <c r="Y81" s="629">
        <f t="shared" si="70"/>
        <v>176.64000000000001</v>
      </c>
      <c r="Z81" s="629">
        <f t="shared" si="70"/>
        <v>1943.04</v>
      </c>
    </row>
    <row r="83" spans="1:26" ht="24" customHeight="1">
      <c r="A83" s="472"/>
      <c r="B83" s="469" t="s">
        <v>554</v>
      </c>
      <c r="C83" s="470"/>
      <c r="D83" s="471"/>
    </row>
    <row r="84" spans="1:26" ht="15">
      <c r="A84" s="472"/>
      <c r="B84" s="473"/>
      <c r="C84" s="472"/>
      <c r="D84" s="472"/>
    </row>
    <row r="85" spans="1:26" ht="15">
      <c r="A85" s="472"/>
      <c r="B85" s="473"/>
      <c r="C85" s="472"/>
      <c r="D85" s="472"/>
    </row>
    <row r="86" spans="1:26" ht="15">
      <c r="A86" s="472"/>
      <c r="B86" s="473"/>
      <c r="C86" s="472"/>
      <c r="D86" s="472"/>
    </row>
    <row r="87" spans="1:26" ht="15">
      <c r="A87" s="472"/>
      <c r="B87" s="473"/>
      <c r="C87" s="472"/>
      <c r="D87" s="472"/>
    </row>
  </sheetData>
  <mergeCells count="3">
    <mergeCell ref="B1:T1"/>
    <mergeCell ref="B13:T13"/>
    <mergeCell ref="B40:Y40"/>
  </mergeCells>
  <phoneticPr fontId="27" type="noConversion"/>
  <hyperlinks>
    <hyperlink ref="B83" location="目录!A1" display="点击返回目录"/>
  </hyperlinks>
  <pageMargins left="0.75" right="0.75" top="1" bottom="1" header="0.5" footer="0.5"/>
  <pageSetup paperSize="9" scale="22"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13"/>
  <sheetViews>
    <sheetView zoomScale="80" zoomScaleNormal="80" workbookViewId="0">
      <pane xSplit="3" ySplit="2" topLeftCell="D3" activePane="bottomRight" state="frozen"/>
      <selection pane="topRight" activeCell="D1" sqref="D1"/>
      <selection pane="bottomLeft" activeCell="A3" sqref="A3"/>
      <selection pane="bottomRight" activeCell="I20" sqref="I20"/>
    </sheetView>
  </sheetViews>
  <sheetFormatPr defaultRowHeight="14"/>
  <cols>
    <col min="1" max="1" width="7.453125" customWidth="1"/>
    <col min="2" max="2" width="17.7265625" customWidth="1"/>
    <col min="3" max="3" width="15.453125" customWidth="1"/>
    <col min="4" max="4" width="12.6328125" customWidth="1"/>
    <col min="5" max="14" width="14.6328125" customWidth="1"/>
    <col min="15" max="23" width="12.6328125" customWidth="1"/>
  </cols>
  <sheetData>
    <row r="1" spans="1:24" ht="20.149999999999999" customHeight="1">
      <c r="A1" s="754" t="s">
        <v>763</v>
      </c>
      <c r="B1" s="755"/>
      <c r="C1" s="755"/>
      <c r="D1" s="755"/>
      <c r="E1" s="755"/>
      <c r="F1" s="755"/>
      <c r="G1" s="755"/>
      <c r="H1" s="755"/>
      <c r="I1" s="755"/>
      <c r="J1" s="755"/>
      <c r="K1" s="755"/>
      <c r="L1" s="755"/>
      <c r="M1" s="755"/>
      <c r="N1" s="755"/>
      <c r="O1" s="755"/>
      <c r="P1" s="755"/>
      <c r="Q1" s="755"/>
      <c r="R1" s="755"/>
      <c r="S1" s="755"/>
      <c r="T1" s="755"/>
      <c r="U1" s="755"/>
      <c r="V1" s="755"/>
      <c r="W1" s="756"/>
    </row>
    <row r="2" spans="1:24" s="642" customFormat="1">
      <c r="A2" s="646" t="s">
        <v>324</v>
      </c>
      <c r="B2" s="646" t="s">
        <v>379</v>
      </c>
      <c r="C2" s="646" t="s">
        <v>361</v>
      </c>
      <c r="D2" s="645" t="s">
        <v>477</v>
      </c>
      <c r="E2" s="645" t="s">
        <v>478</v>
      </c>
      <c r="F2" s="645" t="s">
        <v>479</v>
      </c>
      <c r="G2" s="645" t="s">
        <v>480</v>
      </c>
      <c r="H2" s="645" t="s">
        <v>481</v>
      </c>
      <c r="I2" s="645" t="s">
        <v>482</v>
      </c>
      <c r="J2" s="645" t="s">
        <v>483</v>
      </c>
      <c r="K2" s="645" t="s">
        <v>484</v>
      </c>
      <c r="L2" s="645" t="s">
        <v>485</v>
      </c>
      <c r="M2" s="645" t="s">
        <v>486</v>
      </c>
      <c r="N2" s="645" t="s">
        <v>487</v>
      </c>
      <c r="O2" s="645" t="s">
        <v>488</v>
      </c>
      <c r="P2" s="645" t="s">
        <v>489</v>
      </c>
      <c r="Q2" s="645" t="s">
        <v>490</v>
      </c>
      <c r="R2" s="645" t="s">
        <v>491</v>
      </c>
      <c r="S2" s="645" t="s">
        <v>492</v>
      </c>
      <c r="T2" s="645" t="s">
        <v>493</v>
      </c>
      <c r="U2" s="645" t="s">
        <v>494</v>
      </c>
      <c r="V2" s="645" t="s">
        <v>495</v>
      </c>
      <c r="W2" s="645" t="s">
        <v>496</v>
      </c>
    </row>
    <row r="3" spans="1:24">
      <c r="A3" s="643">
        <v>1</v>
      </c>
      <c r="B3" s="107" t="s">
        <v>702</v>
      </c>
      <c r="C3" s="249">
        <f t="shared" ref="C3:C9" si="0">SUM(D3:W3)</f>
        <v>115945.07200000001</v>
      </c>
      <c r="D3" s="249">
        <f>'3.1销售情况分析'!G3</f>
        <v>0</v>
      </c>
      <c r="E3" s="249">
        <f>'3.1销售情况分析'!H3</f>
        <v>0</v>
      </c>
      <c r="F3" s="249">
        <f>'3.1销售情况分析'!I3</f>
        <v>0</v>
      </c>
      <c r="G3" s="249">
        <f>'3.1销售情况分析'!J3</f>
        <v>23989.014400000007</v>
      </c>
      <c r="H3" s="249">
        <f>'3.1销售情况分析'!K3</f>
        <v>9345.6057600000004</v>
      </c>
      <c r="I3" s="249">
        <f>'3.1销售情况分析'!L3</f>
        <v>9345.6057600000004</v>
      </c>
      <c r="J3" s="249">
        <f>'3.1销售情况分析'!M3</f>
        <v>12943.957920000001</v>
      </c>
      <c r="K3" s="249">
        <f>'3.1销售情况分析'!N3</f>
        <v>6946.7043200000007</v>
      </c>
      <c r="L3" s="249">
        <f>'3.1销售情况分析'!O3</f>
        <v>4547.8028800000002</v>
      </c>
      <c r="M3" s="249">
        <f>'3.1销售情况分析'!P3</f>
        <v>3348.3521600000004</v>
      </c>
      <c r="N3" s="249">
        <f>'3.1销售情况分析'!Q3</f>
        <v>2148.9014400000001</v>
      </c>
      <c r="O3" s="249">
        <f>'3.1销售情况分析'!R3</f>
        <v>2148.9014400000001</v>
      </c>
      <c r="P3" s="249">
        <f>'3.1销售情况分析'!S3</f>
        <v>2148.9014400000001</v>
      </c>
      <c r="Q3" s="249">
        <f>'3.1销售情况分析'!T3</f>
        <v>2148.9014400000001</v>
      </c>
      <c r="R3" s="249">
        <f>'3.1销售情况分析'!U3</f>
        <v>2148.9014400000001</v>
      </c>
      <c r="S3" s="249">
        <f>'3.1销售情况分析'!V3</f>
        <v>2148.9014400000001</v>
      </c>
      <c r="T3" s="249">
        <f>'3.1销售情况分析'!W3</f>
        <v>2148.9014400000001</v>
      </c>
      <c r="U3" s="249">
        <f>'3.1销售情况分析'!X3</f>
        <v>2148.9014400000001</v>
      </c>
      <c r="V3" s="249">
        <f>'3.1销售情况分析'!Y3</f>
        <v>2148.9014400000001</v>
      </c>
      <c r="W3" s="249">
        <f>'3.1销售情况分析'!Z3</f>
        <v>26137.915840000001</v>
      </c>
    </row>
    <row r="4" spans="1:24">
      <c r="A4" s="644">
        <v>2</v>
      </c>
      <c r="B4" s="107" t="s">
        <v>520</v>
      </c>
      <c r="C4" s="249">
        <f t="shared" ca="1" si="0"/>
        <v>921.96831849264277</v>
      </c>
      <c r="D4" s="249">
        <f ca="1">'3.1销售情况分析'!G4</f>
        <v>0</v>
      </c>
      <c r="E4" s="249">
        <f>'3.1销售情况分析'!H4</f>
        <v>0</v>
      </c>
      <c r="F4" s="249">
        <f>'3.1销售情况分析'!I4</f>
        <v>0</v>
      </c>
      <c r="G4" s="249">
        <f>'3.1销售情况分析'!J4</f>
        <v>0</v>
      </c>
      <c r="H4" s="249">
        <f>'3.1销售情况分析'!K4</f>
        <v>0</v>
      </c>
      <c r="I4" s="249">
        <f>'3.1销售情况分析'!L4</f>
        <v>0</v>
      </c>
      <c r="J4" s="249">
        <f>'3.1销售情况分析'!M4</f>
        <v>0</v>
      </c>
      <c r="K4" s="249">
        <f>'3.1销售情况分析'!N4</f>
        <v>0</v>
      </c>
      <c r="L4" s="249">
        <f>'3.1销售情况分析'!O4</f>
        <v>0</v>
      </c>
      <c r="M4" s="249">
        <f>'3.1销售情况分析'!P4</f>
        <v>0</v>
      </c>
      <c r="N4" s="249">
        <f>'3.1销售情况分析'!Q4</f>
        <v>0</v>
      </c>
      <c r="O4" s="249">
        <f>'3.1销售情况分析'!R4</f>
        <v>0</v>
      </c>
      <c r="P4" s="249">
        <f>'3.1销售情况分析'!S4</f>
        <v>0</v>
      </c>
      <c r="Q4" s="249">
        <f>'3.1销售情况分析'!T4</f>
        <v>0</v>
      </c>
      <c r="R4" s="249">
        <f>'3.1销售情况分析'!U4</f>
        <v>0</v>
      </c>
      <c r="S4" s="249">
        <f>'3.1销售情况分析'!V4</f>
        <v>0</v>
      </c>
      <c r="T4" s="249">
        <f>'3.1销售情况分析'!W4</f>
        <v>0</v>
      </c>
      <c r="U4" s="249">
        <f>'3.1销售情况分析'!X4</f>
        <v>0</v>
      </c>
      <c r="V4" s="249">
        <f>'3.1销售情况分析'!Y4</f>
        <v>0</v>
      </c>
      <c r="W4" s="249">
        <f>'3.1销售情况分析'!Z4</f>
        <v>921.96831849264277</v>
      </c>
    </row>
    <row r="5" spans="1:24">
      <c r="A5" s="644">
        <v>3</v>
      </c>
      <c r="B5" s="107" t="s">
        <v>365</v>
      </c>
      <c r="C5" s="249">
        <f t="shared" ca="1" si="0"/>
        <v>115023.10368150737</v>
      </c>
      <c r="D5" s="249">
        <f ca="1">'3.1销售情况分析'!G5</f>
        <v>0</v>
      </c>
      <c r="E5" s="249">
        <f>'3.1销售情况分析'!H5</f>
        <v>0</v>
      </c>
      <c r="F5" s="249">
        <f>'3.1销售情况分析'!I5</f>
        <v>0</v>
      </c>
      <c r="G5" s="249">
        <f>'3.1销售情况分析'!J5</f>
        <v>23989.014400000007</v>
      </c>
      <c r="H5" s="249">
        <f>'3.1销售情况分析'!K5</f>
        <v>9345.6057600000004</v>
      </c>
      <c r="I5" s="249">
        <f>'3.1销售情况分析'!L5</f>
        <v>9345.6057600000004</v>
      </c>
      <c r="J5" s="249">
        <f>'3.1销售情况分析'!M5</f>
        <v>12943.957920000001</v>
      </c>
      <c r="K5" s="249">
        <f>'3.1销售情况分析'!N5</f>
        <v>6946.7043200000007</v>
      </c>
      <c r="L5" s="249">
        <f>'3.1销售情况分析'!O5</f>
        <v>4547.8028800000002</v>
      </c>
      <c r="M5" s="249">
        <f>'3.1销售情况分析'!P5</f>
        <v>3348.3521600000004</v>
      </c>
      <c r="N5" s="249">
        <f>'3.1销售情况分析'!Q5</f>
        <v>2148.9014400000001</v>
      </c>
      <c r="O5" s="249">
        <f>'3.1销售情况分析'!R5</f>
        <v>2148.9014400000001</v>
      </c>
      <c r="P5" s="249">
        <f>'3.1销售情况分析'!S5</f>
        <v>2148.9014400000001</v>
      </c>
      <c r="Q5" s="249">
        <f>'3.1销售情况分析'!T5</f>
        <v>2148.9014400000001</v>
      </c>
      <c r="R5" s="249">
        <f>'3.1销售情况分析'!U5</f>
        <v>2148.9014400000001</v>
      </c>
      <c r="S5" s="249">
        <f>'3.1销售情况分析'!V5</f>
        <v>2148.9014400000001</v>
      </c>
      <c r="T5" s="249">
        <f>'3.1销售情况分析'!W5</f>
        <v>2148.9014400000001</v>
      </c>
      <c r="U5" s="249">
        <f>'3.1销售情况分析'!X5</f>
        <v>2148.9014400000001</v>
      </c>
      <c r="V5" s="249">
        <f>'3.1销售情况分析'!Y5</f>
        <v>2148.9014400000001</v>
      </c>
      <c r="W5" s="249">
        <f>'3.1销售情况分析'!Z5</f>
        <v>25215.947521507358</v>
      </c>
    </row>
    <row r="6" spans="1:24">
      <c r="A6" s="644">
        <v>5</v>
      </c>
      <c r="B6" s="107" t="s">
        <v>380</v>
      </c>
      <c r="C6" s="249">
        <f t="shared" si="0"/>
        <v>7697.2536000000046</v>
      </c>
      <c r="D6" s="249">
        <f>'5.1运营成本明细表'!G3</f>
        <v>0</v>
      </c>
      <c r="E6" s="249">
        <f>'5.1运营成本明细表'!H3</f>
        <v>100</v>
      </c>
      <c r="F6" s="249">
        <f>'5.1运营成本明细表'!I3</f>
        <v>100</v>
      </c>
      <c r="G6" s="249">
        <f>'5.1运营成本明细表'!J3</f>
        <v>1299.4507200000005</v>
      </c>
      <c r="H6" s="249">
        <f>'5.1运营成本明细表'!K3</f>
        <v>567.28028800000004</v>
      </c>
      <c r="I6" s="249">
        <f>'5.1运营成本明细表'!L3</f>
        <v>567.28028800000004</v>
      </c>
      <c r="J6" s="249">
        <f>'5.1运营成本明细表'!M3</f>
        <v>747.19789600000013</v>
      </c>
      <c r="K6" s="249">
        <f>'5.1运营成本明细表'!N3</f>
        <v>447.33521600000006</v>
      </c>
      <c r="L6" s="249">
        <f>'5.1运营成本明细表'!O3</f>
        <v>327.39014400000002</v>
      </c>
      <c r="M6" s="249">
        <f>'5.1运营成本明细表'!P3</f>
        <v>267.41760800000003</v>
      </c>
      <c r="N6" s="249">
        <f>'5.1运营成本明细表'!Q3</f>
        <v>207.44507200000001</v>
      </c>
      <c r="O6" s="249">
        <f>'5.1运营成本明细表'!R3</f>
        <v>207.44507200000001</v>
      </c>
      <c r="P6" s="249">
        <f>'5.1运营成本明细表'!S3</f>
        <v>207.44507200000001</v>
      </c>
      <c r="Q6" s="249">
        <f>'5.1运营成本明细表'!T3</f>
        <v>207.44507200000001</v>
      </c>
      <c r="R6" s="249">
        <f>'5.1运营成本明细表'!U3</f>
        <v>207.44507200000001</v>
      </c>
      <c r="S6" s="249">
        <f>'5.1运营成本明细表'!V3</f>
        <v>207.44507200000001</v>
      </c>
      <c r="T6" s="249">
        <f>'5.1运营成本明细表'!W3</f>
        <v>207.44507200000001</v>
      </c>
      <c r="U6" s="249">
        <f>'5.1运营成本明细表'!X3</f>
        <v>207.44507200000001</v>
      </c>
      <c r="V6" s="249">
        <f>'5.1运营成本明细表'!Y3</f>
        <v>207.44507200000001</v>
      </c>
      <c r="W6" s="249">
        <f>'5.1运营成本明细表'!Z3</f>
        <v>1406.8957920000003</v>
      </c>
    </row>
    <row r="7" spans="1:24">
      <c r="A7" s="644">
        <v>6</v>
      </c>
      <c r="B7" s="107" t="s">
        <v>381</v>
      </c>
      <c r="C7" s="249">
        <f t="shared" si="0"/>
        <v>0</v>
      </c>
      <c r="D7" s="249">
        <f>D6*'0基本假设 '!$L$51</f>
        <v>0</v>
      </c>
      <c r="E7" s="249">
        <f>E6*'0基本假设 '!$L$51</f>
        <v>0</v>
      </c>
      <c r="F7" s="249">
        <f>F6*'0基本假设 '!$L$51</f>
        <v>0</v>
      </c>
      <c r="G7" s="249">
        <f>G6*'0基本假设 '!$L$51</f>
        <v>0</v>
      </c>
      <c r="H7" s="249">
        <f>H6*'0基本假设 '!$L$51</f>
        <v>0</v>
      </c>
      <c r="I7" s="249">
        <f>I6*'0基本假设 '!$L$51</f>
        <v>0</v>
      </c>
      <c r="J7" s="249">
        <f>J6*'0基本假设 '!$L$51</f>
        <v>0</v>
      </c>
      <c r="K7" s="249">
        <f>K6*'0基本假设 '!$L$51</f>
        <v>0</v>
      </c>
      <c r="L7" s="249">
        <f>L6*'0基本假设 '!$L$51</f>
        <v>0</v>
      </c>
      <c r="M7" s="249">
        <f>M6*'0基本假设 '!$L$51</f>
        <v>0</v>
      </c>
      <c r="N7" s="249">
        <f>N6*'0基本假设 '!$L$51</f>
        <v>0</v>
      </c>
      <c r="O7" s="249">
        <f>O6*'0基本假设 '!$L$51</f>
        <v>0</v>
      </c>
      <c r="P7" s="249">
        <f>P6*'0基本假设 '!$L$51</f>
        <v>0</v>
      </c>
      <c r="Q7" s="249">
        <f>Q6*'0基本假设 '!$L$51</f>
        <v>0</v>
      </c>
      <c r="R7" s="249">
        <f>R6*'0基本假设 '!$L$51</f>
        <v>0</v>
      </c>
      <c r="S7" s="249">
        <f>S6*'0基本假设 '!$L$51</f>
        <v>0</v>
      </c>
      <c r="T7" s="249">
        <f>T6*'0基本假设 '!$L$51</f>
        <v>0</v>
      </c>
      <c r="U7" s="249">
        <f>U6*'0基本假设 '!$L$51</f>
        <v>0</v>
      </c>
      <c r="V7" s="249">
        <f>V6*'0基本假设 '!$L$51</f>
        <v>0</v>
      </c>
      <c r="W7" s="249">
        <f>W6*'0基本假设 '!$L$51</f>
        <v>0</v>
      </c>
    </row>
    <row r="8" spans="1:24" ht="24">
      <c r="A8" s="644">
        <v>7</v>
      </c>
      <c r="B8" s="107" t="s">
        <v>382</v>
      </c>
      <c r="C8" s="249">
        <f t="shared" si="0"/>
        <v>7697.2536000000046</v>
      </c>
      <c r="D8" s="249">
        <f>D6+D7</f>
        <v>0</v>
      </c>
      <c r="E8" s="249">
        <f t="shared" ref="E8:W8" si="1">E6+E7</f>
        <v>100</v>
      </c>
      <c r="F8" s="249">
        <f t="shared" si="1"/>
        <v>100</v>
      </c>
      <c r="G8" s="249">
        <f t="shared" si="1"/>
        <v>1299.4507200000005</v>
      </c>
      <c r="H8" s="249">
        <f t="shared" si="1"/>
        <v>567.28028800000004</v>
      </c>
      <c r="I8" s="249">
        <f t="shared" si="1"/>
        <v>567.28028800000004</v>
      </c>
      <c r="J8" s="249">
        <f t="shared" si="1"/>
        <v>747.19789600000013</v>
      </c>
      <c r="K8" s="249">
        <f t="shared" si="1"/>
        <v>447.33521600000006</v>
      </c>
      <c r="L8" s="249">
        <f t="shared" si="1"/>
        <v>327.39014400000002</v>
      </c>
      <c r="M8" s="249">
        <f t="shared" si="1"/>
        <v>267.41760800000003</v>
      </c>
      <c r="N8" s="249">
        <f t="shared" si="1"/>
        <v>207.44507200000001</v>
      </c>
      <c r="O8" s="249">
        <f t="shared" si="1"/>
        <v>207.44507200000001</v>
      </c>
      <c r="P8" s="249">
        <f t="shared" si="1"/>
        <v>207.44507200000001</v>
      </c>
      <c r="Q8" s="249">
        <f t="shared" si="1"/>
        <v>207.44507200000001</v>
      </c>
      <c r="R8" s="249">
        <f t="shared" si="1"/>
        <v>207.44507200000001</v>
      </c>
      <c r="S8" s="249">
        <f t="shared" si="1"/>
        <v>207.44507200000001</v>
      </c>
      <c r="T8" s="249">
        <f t="shared" si="1"/>
        <v>207.44507200000001</v>
      </c>
      <c r="U8" s="249">
        <f t="shared" si="1"/>
        <v>207.44507200000001</v>
      </c>
      <c r="V8" s="249">
        <f t="shared" si="1"/>
        <v>207.44507200000001</v>
      </c>
      <c r="W8" s="249">
        <f t="shared" si="1"/>
        <v>1406.8957920000003</v>
      </c>
    </row>
    <row r="9" spans="1:24">
      <c r="A9" s="644">
        <v>8</v>
      </c>
      <c r="B9" s="107" t="s">
        <v>701</v>
      </c>
      <c r="C9" s="249">
        <f t="shared" si="0"/>
        <v>0</v>
      </c>
      <c r="D9" s="249">
        <f>'3.1销售情况分析'!G19</f>
        <v>0</v>
      </c>
      <c r="E9" s="249">
        <f>'3.1销售情况分析'!H19</f>
        <v>0</v>
      </c>
      <c r="F9" s="249">
        <f>'3.1销售情况分析'!I19</f>
        <v>0</v>
      </c>
      <c r="G9" s="249">
        <f>'3.1销售情况分析'!J19</f>
        <v>0</v>
      </c>
      <c r="H9" s="249">
        <f>'3.1销售情况分析'!K19</f>
        <v>0</v>
      </c>
      <c r="I9" s="249">
        <f>'3.1销售情况分析'!L19</f>
        <v>0</v>
      </c>
      <c r="J9" s="249">
        <f>'3.1销售情况分析'!M19</f>
        <v>0</v>
      </c>
      <c r="K9" s="249">
        <f>'3.1销售情况分析'!N19</f>
        <v>0</v>
      </c>
      <c r="L9" s="249">
        <f>'3.1销售情况分析'!O19</f>
        <v>0</v>
      </c>
      <c r="M9" s="249">
        <f>'3.1销售情况分析'!P19</f>
        <v>0</v>
      </c>
      <c r="N9" s="249">
        <f>'3.1销售情况分析'!Q19</f>
        <v>0</v>
      </c>
      <c r="O9" s="249">
        <f>'3.1销售情况分析'!R19</f>
        <v>0</v>
      </c>
      <c r="P9" s="249">
        <f>'3.1销售情况分析'!S19</f>
        <v>0</v>
      </c>
      <c r="Q9" s="249">
        <f>'3.1销售情况分析'!T19</f>
        <v>0</v>
      </c>
      <c r="R9" s="249">
        <f>'3.1销售情况分析'!U19</f>
        <v>0</v>
      </c>
      <c r="S9" s="249">
        <f>'3.1销售情况分析'!V19</f>
        <v>0</v>
      </c>
      <c r="T9" s="249">
        <f>'3.1销售情况分析'!W19</f>
        <v>0</v>
      </c>
      <c r="U9" s="249">
        <f>'3.1销售情况分析'!X19</f>
        <v>0</v>
      </c>
      <c r="V9" s="249">
        <f>'3.1销售情况分析'!Y19</f>
        <v>0</v>
      </c>
      <c r="W9" s="249">
        <f>'3.1销售情况分析'!Z19</f>
        <v>0</v>
      </c>
    </row>
    <row r="11" spans="1:24" s="651" customFormat="1" ht="13">
      <c r="B11" s="652" t="s">
        <v>516</v>
      </c>
      <c r="C11" s="653">
        <f>SUM(D11:W11)</f>
        <v>1.0000000000000004</v>
      </c>
      <c r="D11" s="653">
        <f>D12+D13</f>
        <v>0</v>
      </c>
      <c r="E11" s="653">
        <f t="shared" ref="E11:W11" si="2">E12+E13</f>
        <v>0</v>
      </c>
      <c r="F11" s="653">
        <f t="shared" si="2"/>
        <v>0</v>
      </c>
      <c r="G11" s="653">
        <f t="shared" si="2"/>
        <v>0.23689981890735298</v>
      </c>
      <c r="H11" s="653">
        <f t="shared" si="2"/>
        <v>0.10060373415439339</v>
      </c>
      <c r="I11" s="653">
        <f t="shared" si="2"/>
        <v>0.10060373415439339</v>
      </c>
      <c r="J11" s="653">
        <f t="shared" si="2"/>
        <v>0.13163870699049632</v>
      </c>
      <c r="K11" s="653">
        <f t="shared" si="2"/>
        <v>7.9913752263658086E-2</v>
      </c>
      <c r="L11" s="653">
        <f t="shared" si="2"/>
        <v>5.9223770372922785E-2</v>
      </c>
      <c r="M11" s="653">
        <f t="shared" si="2"/>
        <v>4.8878779427555141E-2</v>
      </c>
      <c r="N11" s="653">
        <f t="shared" si="2"/>
        <v>3.5337884821874943E-3</v>
      </c>
      <c r="O11" s="653">
        <f t="shared" si="2"/>
        <v>3.5337884821874943E-3</v>
      </c>
      <c r="P11" s="653">
        <f t="shared" si="2"/>
        <v>3.5337884821874943E-3</v>
      </c>
      <c r="Q11" s="653">
        <f t="shared" si="2"/>
        <v>3.5337884821874943E-3</v>
      </c>
      <c r="R11" s="653">
        <f t="shared" si="2"/>
        <v>3.5337884821874943E-3</v>
      </c>
      <c r="S11" s="653">
        <f t="shared" si="2"/>
        <v>3.5337884821874943E-3</v>
      </c>
      <c r="T11" s="653">
        <f t="shared" si="2"/>
        <v>3.5337884821874943E-3</v>
      </c>
      <c r="U11" s="653">
        <f t="shared" si="2"/>
        <v>3.5337884821874943E-3</v>
      </c>
      <c r="V11" s="653">
        <f t="shared" si="2"/>
        <v>3.5337884821874943E-3</v>
      </c>
      <c r="W11" s="653">
        <f t="shared" si="2"/>
        <v>0.21043360738954042</v>
      </c>
    </row>
    <row r="12" spans="1:24">
      <c r="B12" s="614" t="s">
        <v>771</v>
      </c>
      <c r="C12" s="653">
        <f t="shared" ref="C12:C13" si="3">SUM(D12:W12)</f>
        <v>0.99999999999999956</v>
      </c>
      <c r="E12" s="653">
        <f>E3/$C$3</f>
        <v>0</v>
      </c>
      <c r="F12" s="653">
        <f t="shared" ref="F12:W12" si="4">F3/$C$3</f>
        <v>0</v>
      </c>
      <c r="G12" s="653">
        <f t="shared" si="4"/>
        <v>0.20689981890735298</v>
      </c>
      <c r="H12" s="653">
        <f t="shared" si="4"/>
        <v>8.0603734154393383E-2</v>
      </c>
      <c r="I12" s="653">
        <f t="shared" si="4"/>
        <v>8.0603734154393383E-2</v>
      </c>
      <c r="J12" s="653">
        <f t="shared" si="4"/>
        <v>0.11163870699049631</v>
      </c>
      <c r="K12" s="653">
        <f t="shared" si="4"/>
        <v>5.9913752263658089E-2</v>
      </c>
      <c r="L12" s="653">
        <f t="shared" si="4"/>
        <v>3.9223770372922788E-2</v>
      </c>
      <c r="M12" s="653">
        <f t="shared" si="4"/>
        <v>2.8878779427555144E-2</v>
      </c>
      <c r="N12" s="653">
        <f t="shared" si="4"/>
        <v>1.8533788482187494E-2</v>
      </c>
      <c r="O12" s="653">
        <f t="shared" si="4"/>
        <v>1.8533788482187494E-2</v>
      </c>
      <c r="P12" s="653">
        <f t="shared" si="4"/>
        <v>1.8533788482187494E-2</v>
      </c>
      <c r="Q12" s="653">
        <f t="shared" si="4"/>
        <v>1.8533788482187494E-2</v>
      </c>
      <c r="R12" s="653">
        <f t="shared" si="4"/>
        <v>1.8533788482187494E-2</v>
      </c>
      <c r="S12" s="653">
        <f t="shared" si="4"/>
        <v>1.8533788482187494E-2</v>
      </c>
      <c r="T12" s="653">
        <f t="shared" si="4"/>
        <v>1.8533788482187494E-2</v>
      </c>
      <c r="U12" s="653">
        <f t="shared" si="4"/>
        <v>1.8533788482187494E-2</v>
      </c>
      <c r="V12" s="653">
        <f t="shared" si="4"/>
        <v>1.8533788482187494E-2</v>
      </c>
      <c r="W12" s="653">
        <f t="shared" si="4"/>
        <v>0.22543360738954044</v>
      </c>
    </row>
    <row r="13" spans="1:24">
      <c r="B13" s="614" t="s">
        <v>772</v>
      </c>
      <c r="C13" s="653">
        <f t="shared" si="3"/>
        <v>1.3877787807814457E-17</v>
      </c>
      <c r="D13" s="653"/>
      <c r="E13" s="653"/>
      <c r="F13" s="653"/>
      <c r="G13" s="653">
        <v>0.03</v>
      </c>
      <c r="H13" s="653">
        <v>0.02</v>
      </c>
      <c r="I13" s="653">
        <v>0.02</v>
      </c>
      <c r="J13" s="653">
        <v>0.02</v>
      </c>
      <c r="K13" s="653">
        <v>0.02</v>
      </c>
      <c r="L13" s="653">
        <v>0.02</v>
      </c>
      <c r="M13" s="653">
        <v>0.02</v>
      </c>
      <c r="N13" s="653">
        <v>-1.4999999999999999E-2</v>
      </c>
      <c r="O13" s="653">
        <v>-1.4999999999999999E-2</v>
      </c>
      <c r="P13" s="653">
        <v>-1.4999999999999999E-2</v>
      </c>
      <c r="Q13" s="653">
        <v>-1.4999999999999999E-2</v>
      </c>
      <c r="R13" s="653">
        <v>-1.4999999999999999E-2</v>
      </c>
      <c r="S13" s="653">
        <v>-1.4999999999999999E-2</v>
      </c>
      <c r="T13" s="653">
        <v>-1.4999999999999999E-2</v>
      </c>
      <c r="U13" s="653">
        <v>-1.4999999999999999E-2</v>
      </c>
      <c r="V13" s="653">
        <v>-1.4999999999999999E-2</v>
      </c>
      <c r="W13" s="653">
        <v>-1.4999999999999999E-2</v>
      </c>
      <c r="X13" s="653"/>
    </row>
  </sheetData>
  <mergeCells count="1">
    <mergeCell ref="A1:W1"/>
  </mergeCells>
  <phoneticPr fontId="27"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0"/>
  <sheetViews>
    <sheetView topLeftCell="B1" zoomScale="80" zoomScaleNormal="80" zoomScaleSheetLayoutView="80" workbookViewId="0">
      <selection activeCell="Q25" sqref="Q25"/>
    </sheetView>
  </sheetViews>
  <sheetFormatPr defaultColWidth="9" defaultRowHeight="18" customHeight="1"/>
  <cols>
    <col min="1" max="1" width="8.08984375" style="104" hidden="1" customWidth="1"/>
    <col min="2" max="2" width="7.08984375" style="104" customWidth="1"/>
    <col min="3" max="3" width="20.90625" style="104" customWidth="1"/>
    <col min="4" max="4" width="12.90625" style="104" hidden="1" customWidth="1"/>
    <col min="5" max="5" width="12.6328125" style="105" customWidth="1"/>
    <col min="6" max="25" width="11.6328125" style="104" customWidth="1"/>
    <col min="26" max="36" width="9" style="104" customWidth="1"/>
    <col min="37" max="37" width="12.453125" style="104" customWidth="1"/>
    <col min="38" max="38" width="13.90625" style="104" customWidth="1"/>
    <col min="39" max="39" width="11.6328125" style="104" customWidth="1"/>
    <col min="40" max="16384" width="9" style="104"/>
  </cols>
  <sheetData>
    <row r="1" spans="2:37" ht="6" customHeight="1"/>
    <row r="2" spans="2:37" s="101" customFormat="1" ht="46" customHeight="1">
      <c r="B2" s="728" t="s">
        <v>727</v>
      </c>
      <c r="C2" s="728"/>
      <c r="D2" s="728"/>
      <c r="E2" s="728"/>
      <c r="F2" s="728"/>
      <c r="G2" s="728"/>
      <c r="H2" s="728"/>
      <c r="I2" s="728"/>
      <c r="J2" s="728"/>
      <c r="K2" s="728"/>
      <c r="L2" s="728"/>
      <c r="M2" s="728"/>
      <c r="N2" s="728"/>
      <c r="O2" s="728"/>
      <c r="P2" s="728"/>
      <c r="Q2" s="728"/>
      <c r="R2" s="728"/>
      <c r="S2" s="728"/>
      <c r="T2" s="728"/>
      <c r="U2" s="728"/>
      <c r="V2" s="728"/>
      <c r="W2" s="728"/>
      <c r="X2" s="728"/>
      <c r="Y2" s="728"/>
      <c r="Z2" s="119"/>
      <c r="AA2" s="119"/>
      <c r="AB2" s="119"/>
      <c r="AC2" s="119"/>
      <c r="AD2" s="119"/>
      <c r="AE2" s="119"/>
      <c r="AF2" s="119"/>
      <c r="AG2" s="119"/>
      <c r="AH2" s="119"/>
      <c r="AI2" s="119"/>
      <c r="AJ2" s="119"/>
    </row>
    <row r="3" spans="2:37" s="555" customFormat="1" ht="18" customHeight="1">
      <c r="B3" s="484" t="s">
        <v>588</v>
      </c>
      <c r="C3" s="484" t="s">
        <v>587</v>
      </c>
      <c r="D3" s="484"/>
      <c r="E3" s="553" t="s">
        <v>92</v>
      </c>
      <c r="F3" s="484" t="s">
        <v>477</v>
      </c>
      <c r="G3" s="484" t="s">
        <v>478</v>
      </c>
      <c r="H3" s="484" t="s">
        <v>479</v>
      </c>
      <c r="I3" s="484" t="s">
        <v>480</v>
      </c>
      <c r="J3" s="484" t="s">
        <v>481</v>
      </c>
      <c r="K3" s="484" t="s">
        <v>482</v>
      </c>
      <c r="L3" s="484" t="s">
        <v>483</v>
      </c>
      <c r="M3" s="484" t="s">
        <v>484</v>
      </c>
      <c r="N3" s="484" t="s">
        <v>485</v>
      </c>
      <c r="O3" s="484" t="s">
        <v>486</v>
      </c>
      <c r="P3" s="484" t="s">
        <v>487</v>
      </c>
      <c r="Q3" s="484" t="s">
        <v>488</v>
      </c>
      <c r="R3" s="484" t="s">
        <v>489</v>
      </c>
      <c r="S3" s="484" t="s">
        <v>490</v>
      </c>
      <c r="T3" s="484" t="s">
        <v>491</v>
      </c>
      <c r="U3" s="484" t="s">
        <v>492</v>
      </c>
      <c r="V3" s="484" t="s">
        <v>493</v>
      </c>
      <c r="W3" s="484" t="s">
        <v>494</v>
      </c>
      <c r="X3" s="484" t="s">
        <v>495</v>
      </c>
      <c r="Y3" s="484" t="s">
        <v>496</v>
      </c>
      <c r="Z3" s="554"/>
      <c r="AA3" s="554"/>
      <c r="AB3" s="554"/>
      <c r="AC3" s="554"/>
      <c r="AD3" s="554"/>
      <c r="AE3" s="554"/>
      <c r="AF3" s="554"/>
      <c r="AG3" s="554"/>
      <c r="AH3" s="554"/>
      <c r="AI3" s="554"/>
      <c r="AJ3" s="554"/>
      <c r="AK3" s="554"/>
    </row>
    <row r="4" spans="2:37" s="102" customFormat="1" ht="29.25" customHeight="1">
      <c r="B4" s="485">
        <v>1.1000000000000001</v>
      </c>
      <c r="C4" s="486" t="s">
        <v>528</v>
      </c>
      <c r="D4" s="486"/>
      <c r="E4" s="487">
        <f>SUM(F4:Y4)</f>
        <v>115945.07200000001</v>
      </c>
      <c r="F4" s="488">
        <f>'3.1销售情况分析'!G3</f>
        <v>0</v>
      </c>
      <c r="G4" s="488">
        <f>'3.1销售情况分析'!H3</f>
        <v>0</v>
      </c>
      <c r="H4" s="488">
        <f>'3.1销售情况分析'!I3</f>
        <v>0</v>
      </c>
      <c r="I4" s="488">
        <f>'3.1销售情况分析'!J3</f>
        <v>23989.014400000007</v>
      </c>
      <c r="J4" s="488">
        <f>'3.1销售情况分析'!K3</f>
        <v>9345.6057600000004</v>
      </c>
      <c r="K4" s="488">
        <f>'3.1销售情况分析'!L3</f>
        <v>9345.6057600000004</v>
      </c>
      <c r="L4" s="488">
        <f>'3.1销售情况分析'!M3</f>
        <v>12943.957920000001</v>
      </c>
      <c r="M4" s="488">
        <f>'3.1销售情况分析'!N3</f>
        <v>6946.7043200000007</v>
      </c>
      <c r="N4" s="488">
        <f>'3.1销售情况分析'!O3</f>
        <v>4547.8028800000002</v>
      </c>
      <c r="O4" s="488">
        <f>'3.1销售情况分析'!P3</f>
        <v>3348.3521600000004</v>
      </c>
      <c r="P4" s="488">
        <f>'3.1销售情况分析'!Q3</f>
        <v>2148.9014400000001</v>
      </c>
      <c r="Q4" s="488">
        <f>'3.1销售情况分析'!R3</f>
        <v>2148.9014400000001</v>
      </c>
      <c r="R4" s="488">
        <f>'3.1销售情况分析'!S3</f>
        <v>2148.9014400000001</v>
      </c>
      <c r="S4" s="488">
        <f>'3.1销售情况分析'!T3</f>
        <v>2148.9014400000001</v>
      </c>
      <c r="T4" s="488">
        <f>'3.1销售情况分析'!U3</f>
        <v>2148.9014400000001</v>
      </c>
      <c r="U4" s="488">
        <f>'3.1销售情况分析'!V3</f>
        <v>2148.9014400000001</v>
      </c>
      <c r="V4" s="488">
        <f>'3.1销售情况分析'!W3</f>
        <v>2148.9014400000001</v>
      </c>
      <c r="W4" s="488">
        <f>'3.1销售情况分析'!X3</f>
        <v>2148.9014400000001</v>
      </c>
      <c r="X4" s="488">
        <f>'3.1销售情况分析'!Y3</f>
        <v>2148.9014400000001</v>
      </c>
      <c r="Y4" s="488">
        <f>'3.1销售情况分析'!Z3</f>
        <v>26137.915840000001</v>
      </c>
      <c r="Z4" s="113"/>
      <c r="AA4" s="113"/>
      <c r="AB4" s="113"/>
      <c r="AC4" s="113"/>
      <c r="AD4" s="113"/>
      <c r="AE4" s="113"/>
      <c r="AF4" s="113"/>
      <c r="AG4" s="113"/>
      <c r="AH4" s="113"/>
      <c r="AI4" s="113"/>
      <c r="AJ4" s="113"/>
      <c r="AK4" s="113"/>
    </row>
    <row r="5" spans="2:37" s="103" customFormat="1" ht="21.75" customHeight="1">
      <c r="B5" s="485">
        <v>2</v>
      </c>
      <c r="C5" s="107" t="s">
        <v>520</v>
      </c>
      <c r="D5" s="108"/>
      <c r="E5" s="106">
        <f ca="1">SUM(F5:Y5)</f>
        <v>921.96831849264277</v>
      </c>
      <c r="F5" s="310">
        <f ca="1">'3.1销售情况分析'!G33+'3.1销售情况分析'!G34</f>
        <v>0</v>
      </c>
      <c r="G5" s="310">
        <f>'3.1销售情况分析'!H33+'3.1销售情况分析'!H34</f>
        <v>0</v>
      </c>
      <c r="H5" s="310">
        <f>'3.1销售情况分析'!I33+'3.1销售情况分析'!I34</f>
        <v>0</v>
      </c>
      <c r="I5" s="310">
        <f>'3.1销售情况分析'!J33+'3.1销售情况分析'!J34</f>
        <v>0</v>
      </c>
      <c r="J5" s="310">
        <f>'3.1销售情况分析'!K33+'3.1销售情况分析'!K34</f>
        <v>0</v>
      </c>
      <c r="K5" s="310">
        <f>'3.1销售情况分析'!L33+'3.1销售情况分析'!L34</f>
        <v>0</v>
      </c>
      <c r="L5" s="310">
        <f>'3.1销售情况分析'!M33+'3.1销售情况分析'!M34</f>
        <v>0</v>
      </c>
      <c r="M5" s="310">
        <f>'3.1销售情况分析'!N33+'3.1销售情况分析'!N34</f>
        <v>0</v>
      </c>
      <c r="N5" s="310">
        <f>'3.1销售情况分析'!O33+'3.1销售情况分析'!O34</f>
        <v>0</v>
      </c>
      <c r="O5" s="310">
        <f>'3.1销售情况分析'!P33+'3.1销售情况分析'!P34</f>
        <v>0</v>
      </c>
      <c r="P5" s="310">
        <f>'3.1销售情况分析'!Q33+'3.1销售情况分析'!Q34</f>
        <v>0</v>
      </c>
      <c r="Q5" s="310">
        <f>'3.1销售情况分析'!R33+'3.1销售情况分析'!R34</f>
        <v>0</v>
      </c>
      <c r="R5" s="310">
        <f>'3.1销售情况分析'!S33+'3.1销售情况分析'!S34</f>
        <v>0</v>
      </c>
      <c r="S5" s="310">
        <f>'3.1销售情况分析'!T33+'3.1销售情况分析'!T34</f>
        <v>0</v>
      </c>
      <c r="T5" s="310">
        <f>'3.1销售情况分析'!U33+'3.1销售情况分析'!U34</f>
        <v>0</v>
      </c>
      <c r="U5" s="310">
        <f>'3.1销售情况分析'!V33+'3.1销售情况分析'!V34</f>
        <v>0</v>
      </c>
      <c r="V5" s="310">
        <f>'3.1销售情况分析'!W33+'3.1销售情况分析'!W34</f>
        <v>0</v>
      </c>
      <c r="W5" s="310">
        <f>'3.1销售情况分析'!X33+'3.1销售情况分析'!X34</f>
        <v>0</v>
      </c>
      <c r="X5" s="310">
        <f>'3.1销售情况分析'!Y33+'3.1销售情况分析'!Y34</f>
        <v>0</v>
      </c>
      <c r="Y5" s="310">
        <f>'3.1销售情况分析'!Z33+'3.1销售情况分析'!Z34</f>
        <v>921.96831849264277</v>
      </c>
      <c r="Z5" s="113"/>
      <c r="AA5" s="113"/>
      <c r="AB5" s="113"/>
      <c r="AC5" s="113"/>
      <c r="AD5" s="113"/>
      <c r="AE5" s="113"/>
      <c r="AF5" s="113"/>
      <c r="AG5" s="113"/>
      <c r="AH5" s="113"/>
      <c r="AI5" s="113"/>
      <c r="AJ5" s="113"/>
      <c r="AK5" s="113"/>
    </row>
    <row r="6" spans="2:37" s="103" customFormat="1" ht="23.25" customHeight="1">
      <c r="B6" s="485">
        <v>3</v>
      </c>
      <c r="C6" s="107" t="s">
        <v>687</v>
      </c>
      <c r="D6" s="108"/>
      <c r="E6" s="106">
        <f>SUM(F6:Y6)</f>
        <v>0</v>
      </c>
      <c r="F6" s="310">
        <f>'3.1销售情况分析'!G52</f>
        <v>0</v>
      </c>
      <c r="G6" s="310">
        <f>'3.1销售情况分析'!H52</f>
        <v>0</v>
      </c>
      <c r="H6" s="310">
        <f>'3.1销售情况分析'!I52</f>
        <v>0</v>
      </c>
      <c r="I6" s="310">
        <f>'3.1销售情况分析'!J52</f>
        <v>0</v>
      </c>
      <c r="J6" s="310">
        <f>'3.1销售情况分析'!K52</f>
        <v>0</v>
      </c>
      <c r="K6" s="310">
        <f>'3.1销售情况分析'!L52</f>
        <v>0</v>
      </c>
      <c r="L6" s="310">
        <f>'3.1销售情况分析'!M52</f>
        <v>0</v>
      </c>
      <c r="M6" s="310">
        <f>'3.1销售情况分析'!N52</f>
        <v>0</v>
      </c>
      <c r="N6" s="310">
        <f>'3.1销售情况分析'!O52</f>
        <v>0</v>
      </c>
      <c r="O6" s="310">
        <f>'3.1销售情况分析'!P52</f>
        <v>0</v>
      </c>
      <c r="P6" s="310">
        <f>'3.1销售情况分析'!Q52</f>
        <v>0</v>
      </c>
      <c r="Q6" s="310">
        <f>'3.1销售情况分析'!R52</f>
        <v>0</v>
      </c>
      <c r="R6" s="310">
        <f>'3.1销售情况分析'!S52</f>
        <v>0</v>
      </c>
      <c r="S6" s="310">
        <f>'3.1销售情况分析'!T52</f>
        <v>0</v>
      </c>
      <c r="T6" s="310">
        <f>'3.1销售情况分析'!U52</f>
        <v>0</v>
      </c>
      <c r="U6" s="310">
        <f>'3.1销售情况分析'!V52</f>
        <v>0</v>
      </c>
      <c r="V6" s="310">
        <f>'3.1销售情况分析'!W52</f>
        <v>0</v>
      </c>
      <c r="W6" s="310">
        <f>'3.1销售情况分析'!X52</f>
        <v>0</v>
      </c>
      <c r="X6" s="310">
        <f>'3.1销售情况分析'!Y52</f>
        <v>0</v>
      </c>
      <c r="Y6" s="310">
        <f>'3.1销售情况分析'!Z52</f>
        <v>0</v>
      </c>
      <c r="Z6" s="113"/>
      <c r="AA6" s="113"/>
      <c r="AB6" s="113"/>
      <c r="AC6" s="113"/>
      <c r="AD6" s="113"/>
      <c r="AE6" s="113"/>
      <c r="AF6" s="113"/>
      <c r="AG6" s="113"/>
      <c r="AH6" s="113"/>
      <c r="AI6" s="113"/>
      <c r="AJ6" s="113"/>
      <c r="AK6" s="113"/>
    </row>
    <row r="7" spans="2:37" s="103" customFormat="1" ht="30.75" customHeight="1">
      <c r="B7" s="243"/>
      <c r="C7" s="614"/>
      <c r="D7" s="615"/>
      <c r="E7" s="116"/>
      <c r="F7" s="616"/>
      <c r="G7" s="616"/>
      <c r="H7" s="616"/>
      <c r="I7" s="616"/>
      <c r="J7" s="616"/>
      <c r="K7" s="616"/>
      <c r="L7" s="616"/>
      <c r="M7" s="616"/>
      <c r="N7" s="616"/>
      <c r="O7" s="616"/>
      <c r="P7" s="616"/>
      <c r="Q7" s="616"/>
      <c r="R7" s="616"/>
      <c r="S7" s="616"/>
      <c r="T7" s="616"/>
      <c r="U7" s="616"/>
      <c r="V7" s="616"/>
      <c r="W7" s="616"/>
      <c r="X7" s="616"/>
      <c r="Y7" s="616"/>
      <c r="Z7" s="113"/>
      <c r="AA7" s="113"/>
      <c r="AB7" s="113"/>
      <c r="AC7" s="113"/>
      <c r="AD7" s="113"/>
      <c r="AE7" s="113"/>
      <c r="AF7" s="113"/>
      <c r="AG7" s="113"/>
      <c r="AH7" s="113"/>
      <c r="AI7" s="113"/>
      <c r="AJ7" s="113"/>
      <c r="AK7" s="113"/>
    </row>
    <row r="8" spans="2:37" s="103" customFormat="1" ht="30.75" customHeight="1">
      <c r="B8" s="243"/>
      <c r="C8" s="614"/>
      <c r="D8" s="615"/>
      <c r="Z8" s="113"/>
      <c r="AA8" s="113"/>
      <c r="AB8" s="113"/>
      <c r="AC8" s="113"/>
      <c r="AD8" s="113"/>
      <c r="AE8" s="113"/>
      <c r="AF8" s="113"/>
      <c r="AG8" s="113"/>
      <c r="AH8" s="113"/>
      <c r="AI8" s="113"/>
      <c r="AJ8" s="113"/>
      <c r="AK8" s="113"/>
    </row>
    <row r="21" spans="2:37" s="103" customFormat="1" ht="30.75" customHeight="1">
      <c r="B21" s="243"/>
      <c r="C21" s="614"/>
      <c r="D21" s="615"/>
      <c r="E21" s="116"/>
      <c r="F21" s="616"/>
      <c r="G21" s="616"/>
      <c r="H21" s="616"/>
      <c r="I21" s="616"/>
      <c r="J21" s="616"/>
      <c r="K21" s="616"/>
      <c r="L21" s="616"/>
      <c r="M21" s="616"/>
      <c r="N21" s="616"/>
      <c r="O21" s="616"/>
      <c r="P21" s="616"/>
      <c r="Q21" s="616"/>
      <c r="R21" s="616"/>
      <c r="S21" s="616"/>
      <c r="T21" s="616"/>
      <c r="U21" s="616"/>
      <c r="V21" s="616"/>
      <c r="W21" s="616"/>
      <c r="X21" s="616"/>
      <c r="Y21" s="616"/>
      <c r="Z21" s="113"/>
      <c r="AA21" s="113"/>
      <c r="AB21" s="113"/>
      <c r="AC21" s="113"/>
      <c r="AD21" s="113"/>
      <c r="AE21" s="113"/>
      <c r="AF21" s="113"/>
      <c r="AG21" s="113"/>
      <c r="AH21" s="113"/>
      <c r="AI21" s="113"/>
      <c r="AJ21" s="113"/>
      <c r="AK21" s="113"/>
    </row>
    <row r="22" spans="2:37" s="103" customFormat="1" ht="30.75" customHeight="1">
      <c r="B22" s="243"/>
      <c r="C22" s="614"/>
      <c r="D22" s="615"/>
      <c r="E22" s="116"/>
      <c r="F22" s="616"/>
      <c r="G22" s="616"/>
      <c r="H22" s="616"/>
      <c r="I22" s="616"/>
      <c r="J22" s="616"/>
      <c r="K22" s="616"/>
      <c r="L22" s="616"/>
      <c r="M22" s="616"/>
      <c r="N22" s="616"/>
      <c r="O22" s="616"/>
      <c r="P22" s="616"/>
      <c r="Q22" s="616"/>
      <c r="R22" s="616"/>
      <c r="S22" s="616"/>
      <c r="T22" s="616"/>
      <c r="U22" s="616"/>
      <c r="V22" s="616"/>
      <c r="W22" s="616"/>
      <c r="X22" s="616"/>
      <c r="Y22" s="616"/>
      <c r="Z22" s="113"/>
      <c r="AA22" s="113"/>
      <c r="AB22" s="113"/>
      <c r="AC22" s="113"/>
      <c r="AD22" s="113"/>
      <c r="AE22" s="113"/>
      <c r="AF22" s="113"/>
      <c r="AG22" s="113"/>
      <c r="AH22" s="113"/>
      <c r="AI22" s="113"/>
      <c r="AJ22" s="113"/>
      <c r="AK22" s="113"/>
    </row>
    <row r="23" spans="2:37" s="103" customFormat="1" ht="30.75" customHeight="1">
      <c r="B23" s="243"/>
      <c r="C23" s="614"/>
      <c r="D23" s="615"/>
      <c r="E23" s="116"/>
      <c r="F23" s="616"/>
      <c r="G23" s="616"/>
      <c r="H23" s="616"/>
      <c r="I23" s="616"/>
      <c r="J23" s="616"/>
      <c r="K23" s="616"/>
      <c r="L23" s="616"/>
      <c r="M23" s="616"/>
      <c r="N23" s="616"/>
      <c r="O23" s="616"/>
      <c r="P23" s="616"/>
      <c r="Q23" s="616"/>
      <c r="R23" s="616"/>
      <c r="S23" s="616"/>
      <c r="T23" s="616"/>
      <c r="U23" s="616"/>
      <c r="V23" s="616"/>
      <c r="W23" s="616"/>
      <c r="X23" s="616"/>
      <c r="Y23" s="616"/>
      <c r="Z23" s="113"/>
      <c r="AA23" s="113"/>
      <c r="AB23" s="113"/>
      <c r="AC23" s="113"/>
      <c r="AD23" s="113"/>
      <c r="AE23" s="113"/>
      <c r="AF23" s="113"/>
      <c r="AG23" s="113"/>
      <c r="AH23" s="113"/>
      <c r="AI23" s="113"/>
      <c r="AJ23" s="113"/>
      <c r="AK23" s="113"/>
    </row>
    <row r="24" spans="2:37" s="103" customFormat="1" ht="30.75" customHeight="1">
      <c r="B24" s="243"/>
      <c r="C24" s="614"/>
      <c r="D24" s="615"/>
      <c r="E24" s="116"/>
      <c r="F24" s="616"/>
      <c r="G24" s="616"/>
      <c r="H24" s="616"/>
      <c r="I24" s="616"/>
      <c r="J24" s="616"/>
      <c r="K24" s="616"/>
      <c r="L24" s="616"/>
      <c r="M24" s="616"/>
      <c r="N24" s="616"/>
      <c r="O24" s="616"/>
      <c r="P24" s="616"/>
      <c r="Q24" s="616"/>
      <c r="R24" s="616"/>
      <c r="S24" s="616"/>
      <c r="T24" s="616"/>
      <c r="U24" s="616"/>
      <c r="V24" s="616"/>
      <c r="W24" s="616"/>
      <c r="X24" s="616"/>
      <c r="Y24" s="616"/>
      <c r="Z24" s="113"/>
      <c r="AA24" s="113"/>
      <c r="AB24" s="113"/>
      <c r="AC24" s="113"/>
      <c r="AD24" s="113"/>
      <c r="AE24" s="113"/>
      <c r="AF24" s="113"/>
      <c r="AG24" s="113"/>
      <c r="AH24" s="113"/>
      <c r="AI24" s="113"/>
      <c r="AJ24" s="113"/>
      <c r="AK24" s="113"/>
    </row>
    <row r="25" spans="2:37" s="103" customFormat="1" ht="30.75" customHeight="1">
      <c r="B25" s="243"/>
      <c r="C25" s="614"/>
      <c r="D25" s="615"/>
      <c r="E25" s="116"/>
      <c r="F25" s="616"/>
      <c r="G25" s="616"/>
      <c r="H25" s="616"/>
      <c r="I25" s="616"/>
      <c r="J25" s="616"/>
      <c r="K25" s="616"/>
      <c r="L25" s="616"/>
      <c r="M25" s="616"/>
      <c r="N25" s="616"/>
      <c r="O25" s="616"/>
      <c r="P25" s="616"/>
      <c r="Q25" s="616"/>
      <c r="R25" s="616"/>
      <c r="S25" s="616"/>
      <c r="T25" s="616"/>
      <c r="U25" s="616"/>
      <c r="V25" s="616"/>
      <c r="W25" s="616"/>
      <c r="X25" s="616"/>
      <c r="Y25" s="616"/>
      <c r="Z25" s="113"/>
      <c r="AA25" s="113"/>
      <c r="AB25" s="113"/>
      <c r="AC25" s="113"/>
      <c r="AD25" s="113"/>
      <c r="AE25" s="113"/>
      <c r="AF25" s="113"/>
      <c r="AG25" s="113"/>
      <c r="AH25" s="113"/>
      <c r="AI25" s="113"/>
      <c r="AJ25" s="113"/>
      <c r="AK25" s="113"/>
    </row>
    <row r="26" spans="2:37" s="103" customFormat="1" ht="30.75" customHeight="1">
      <c r="B26" s="243"/>
      <c r="C26" s="614"/>
      <c r="D26" s="615"/>
      <c r="E26" s="116"/>
      <c r="F26" s="616"/>
      <c r="G26" s="616"/>
      <c r="H26" s="616"/>
      <c r="I26" s="616"/>
      <c r="J26" s="616"/>
      <c r="K26" s="616"/>
      <c r="L26" s="616"/>
      <c r="M26" s="616"/>
      <c r="N26" s="616"/>
      <c r="O26" s="616"/>
      <c r="P26" s="616"/>
      <c r="Q26" s="616"/>
      <c r="R26" s="616"/>
      <c r="S26" s="616"/>
      <c r="T26" s="616"/>
      <c r="U26" s="616"/>
      <c r="V26" s="616"/>
      <c r="W26" s="616"/>
      <c r="X26" s="616"/>
      <c r="Y26" s="616"/>
      <c r="Z26" s="113"/>
      <c r="AA26" s="113"/>
      <c r="AB26" s="113"/>
      <c r="AC26" s="113"/>
      <c r="AD26" s="113"/>
      <c r="AE26" s="113"/>
      <c r="AF26" s="113"/>
      <c r="AG26" s="113"/>
      <c r="AH26" s="113"/>
      <c r="AI26" s="113"/>
      <c r="AJ26" s="113"/>
      <c r="AK26" s="113"/>
    </row>
    <row r="27" spans="2:37" s="103" customFormat="1" ht="30.75" customHeight="1">
      <c r="B27" s="243"/>
      <c r="C27" s="614"/>
      <c r="D27" s="615"/>
      <c r="E27" s="116"/>
      <c r="F27" s="616"/>
      <c r="G27" s="616"/>
      <c r="H27" s="616"/>
      <c r="I27" s="616"/>
      <c r="J27" s="616"/>
      <c r="K27" s="616"/>
      <c r="L27" s="616"/>
      <c r="M27" s="616"/>
      <c r="N27" s="616"/>
      <c r="O27" s="616"/>
      <c r="P27" s="616"/>
      <c r="Q27" s="616"/>
      <c r="R27" s="616"/>
      <c r="S27" s="616"/>
      <c r="T27" s="616"/>
      <c r="U27" s="616"/>
      <c r="V27" s="616"/>
      <c r="W27" s="616"/>
      <c r="X27" s="616"/>
      <c r="Y27" s="616"/>
      <c r="Z27" s="113"/>
      <c r="AA27" s="113"/>
      <c r="AB27" s="113"/>
      <c r="AC27" s="113"/>
      <c r="AD27" s="113"/>
      <c r="AE27" s="113"/>
      <c r="AF27" s="113"/>
      <c r="AG27" s="113"/>
      <c r="AH27" s="113"/>
      <c r="AI27" s="113"/>
      <c r="AJ27" s="113"/>
      <c r="AK27" s="113"/>
    </row>
    <row r="28" spans="2:37" s="103" customFormat="1" ht="30.75" customHeight="1">
      <c r="B28" s="243"/>
      <c r="C28" s="614"/>
      <c r="D28" s="615"/>
      <c r="E28" s="116"/>
      <c r="F28" s="616"/>
      <c r="G28" s="616"/>
      <c r="H28" s="616"/>
      <c r="I28" s="616"/>
      <c r="J28" s="616"/>
      <c r="K28" s="616"/>
      <c r="L28" s="616"/>
      <c r="M28" s="616"/>
      <c r="N28" s="616"/>
      <c r="O28" s="616"/>
      <c r="P28" s="616"/>
      <c r="Q28" s="616"/>
      <c r="R28" s="616"/>
      <c r="S28" s="616"/>
      <c r="T28" s="616"/>
      <c r="U28" s="616"/>
      <c r="V28" s="616"/>
      <c r="W28" s="616"/>
      <c r="X28" s="616"/>
      <c r="Y28" s="616"/>
      <c r="Z28" s="113"/>
      <c r="AA28" s="113"/>
      <c r="AB28" s="113"/>
      <c r="AC28" s="113"/>
      <c r="AD28" s="113"/>
      <c r="AE28" s="113"/>
      <c r="AF28" s="113"/>
      <c r="AG28" s="113"/>
      <c r="AH28" s="113"/>
      <c r="AI28" s="113"/>
      <c r="AJ28" s="113"/>
      <c r="AK28" s="113"/>
    </row>
    <row r="29" spans="2:37" s="103" customFormat="1" ht="30.75" customHeight="1">
      <c r="B29" s="243"/>
      <c r="C29" s="614"/>
      <c r="D29" s="615"/>
      <c r="E29" s="116"/>
      <c r="F29" s="616"/>
      <c r="G29" s="616"/>
      <c r="H29" s="616"/>
      <c r="I29" s="616"/>
      <c r="J29" s="616"/>
      <c r="K29" s="616"/>
      <c r="L29" s="616"/>
      <c r="M29" s="616"/>
      <c r="N29" s="616"/>
      <c r="O29" s="616"/>
      <c r="P29" s="616"/>
      <c r="Q29" s="616"/>
      <c r="R29" s="616"/>
      <c r="S29" s="616"/>
      <c r="T29" s="616"/>
      <c r="U29" s="616"/>
      <c r="V29" s="616"/>
      <c r="W29" s="616"/>
      <c r="X29" s="616"/>
      <c r="Y29" s="616"/>
      <c r="Z29" s="113"/>
      <c r="AA29" s="113"/>
      <c r="AB29" s="113"/>
      <c r="AC29" s="113"/>
      <c r="AD29" s="113"/>
      <c r="AE29" s="113"/>
      <c r="AF29" s="113"/>
      <c r="AG29" s="113"/>
      <c r="AH29" s="113"/>
      <c r="AI29" s="113"/>
      <c r="AJ29" s="113"/>
      <c r="AK29" s="113"/>
    </row>
    <row r="30" spans="2:37" s="103" customFormat="1" ht="30.75" customHeight="1">
      <c r="B30" s="243"/>
      <c r="C30" s="614"/>
      <c r="D30" s="615"/>
      <c r="E30" s="116"/>
      <c r="F30" s="616"/>
      <c r="G30" s="616"/>
      <c r="H30" s="616"/>
      <c r="I30" s="616"/>
      <c r="J30" s="616"/>
      <c r="K30" s="616"/>
      <c r="L30" s="616"/>
      <c r="M30" s="616"/>
      <c r="N30" s="616"/>
      <c r="O30" s="616"/>
      <c r="P30" s="616"/>
      <c r="Q30" s="616"/>
      <c r="R30" s="616"/>
      <c r="S30" s="616"/>
      <c r="T30" s="616"/>
      <c r="U30" s="616"/>
      <c r="V30" s="616"/>
      <c r="W30" s="616"/>
      <c r="X30" s="616"/>
      <c r="Y30" s="616"/>
      <c r="Z30" s="113"/>
      <c r="AA30" s="113"/>
      <c r="AB30" s="113"/>
      <c r="AC30" s="113"/>
      <c r="AD30" s="113"/>
      <c r="AE30" s="113"/>
      <c r="AF30" s="113"/>
      <c r="AG30" s="113"/>
      <c r="AH30" s="113"/>
      <c r="AI30" s="113"/>
      <c r="AJ30" s="113"/>
      <c r="AK30" s="113"/>
    </row>
    <row r="31" spans="2:37" s="103" customFormat="1" ht="30.75" customHeight="1">
      <c r="B31" s="243"/>
      <c r="C31" s="614"/>
      <c r="D31" s="615"/>
      <c r="E31" s="116"/>
      <c r="F31" s="616"/>
      <c r="G31" s="616"/>
      <c r="H31" s="616"/>
      <c r="I31" s="616"/>
      <c r="J31" s="616"/>
      <c r="K31" s="616"/>
      <c r="L31" s="616"/>
      <c r="M31" s="616"/>
      <c r="N31" s="616"/>
      <c r="O31" s="616"/>
      <c r="P31" s="616"/>
      <c r="Q31" s="616"/>
      <c r="R31" s="616"/>
      <c r="S31" s="616"/>
      <c r="T31" s="616"/>
      <c r="U31" s="616"/>
      <c r="V31" s="616"/>
      <c r="W31" s="616"/>
      <c r="X31" s="616"/>
      <c r="Y31" s="616"/>
      <c r="Z31" s="113"/>
      <c r="AA31" s="113"/>
      <c r="AB31" s="113"/>
      <c r="AC31" s="113"/>
      <c r="AD31" s="113"/>
      <c r="AE31" s="113"/>
      <c r="AF31" s="113"/>
      <c r="AG31" s="113"/>
      <c r="AH31" s="113"/>
      <c r="AI31" s="113"/>
      <c r="AJ31" s="113"/>
      <c r="AK31" s="113"/>
    </row>
    <row r="32" spans="2:37" s="103" customFormat="1" ht="30.75" customHeight="1">
      <c r="B32" s="243"/>
      <c r="C32" s="614"/>
      <c r="D32" s="615"/>
      <c r="E32" s="116"/>
      <c r="F32" s="616"/>
      <c r="G32" s="616"/>
      <c r="H32" s="616"/>
      <c r="I32" s="616"/>
      <c r="J32" s="616"/>
      <c r="K32" s="616"/>
      <c r="L32" s="616"/>
      <c r="M32" s="616"/>
      <c r="N32" s="616"/>
      <c r="O32" s="616"/>
      <c r="P32" s="616"/>
      <c r="Q32" s="616"/>
      <c r="R32" s="616"/>
      <c r="S32" s="616"/>
      <c r="T32" s="616"/>
      <c r="U32" s="616"/>
      <c r="V32" s="616"/>
      <c r="W32" s="616"/>
      <c r="X32" s="616"/>
      <c r="Y32" s="616"/>
      <c r="Z32" s="113"/>
      <c r="AA32" s="113"/>
      <c r="AB32" s="113"/>
      <c r="AC32" s="113"/>
      <c r="AD32" s="113"/>
      <c r="AE32" s="113"/>
      <c r="AF32" s="113"/>
      <c r="AG32" s="113"/>
      <c r="AH32" s="113"/>
      <c r="AI32" s="113"/>
      <c r="AJ32" s="113"/>
      <c r="AK32" s="113"/>
    </row>
    <row r="33" spans="2:37" s="103" customFormat="1" ht="30.75" customHeight="1">
      <c r="B33" s="243"/>
      <c r="C33" s="614"/>
      <c r="D33" s="615"/>
      <c r="E33" s="116"/>
      <c r="F33" s="616"/>
      <c r="G33" s="616"/>
      <c r="H33" s="616"/>
      <c r="I33" s="616"/>
      <c r="J33" s="616"/>
      <c r="K33" s="616"/>
      <c r="L33" s="616"/>
      <c r="M33" s="616"/>
      <c r="N33" s="616"/>
      <c r="O33" s="616"/>
      <c r="P33" s="616"/>
      <c r="Q33" s="616"/>
      <c r="R33" s="616"/>
      <c r="S33" s="616"/>
      <c r="T33" s="616"/>
      <c r="U33" s="616"/>
      <c r="V33" s="616"/>
      <c r="W33" s="616"/>
      <c r="X33" s="616"/>
      <c r="Y33" s="616"/>
      <c r="Z33" s="113"/>
      <c r="AA33" s="113"/>
      <c r="AB33" s="113"/>
      <c r="AC33" s="113"/>
      <c r="AD33" s="113"/>
      <c r="AE33" s="113"/>
      <c r="AF33" s="113"/>
      <c r="AG33" s="113"/>
      <c r="AH33" s="113"/>
      <c r="AI33" s="113"/>
      <c r="AJ33" s="113"/>
      <c r="AK33" s="113"/>
    </row>
    <row r="34" spans="2:37" s="103" customFormat="1" ht="30.75" customHeight="1">
      <c r="B34" s="243"/>
      <c r="C34" s="614"/>
      <c r="D34" s="615"/>
      <c r="E34" s="116"/>
      <c r="F34" s="616"/>
      <c r="G34" s="616"/>
      <c r="H34" s="616"/>
      <c r="I34" s="616"/>
      <c r="J34" s="616"/>
      <c r="K34" s="616"/>
      <c r="L34" s="616"/>
      <c r="M34" s="616"/>
      <c r="N34" s="616"/>
      <c r="O34" s="616"/>
      <c r="P34" s="616"/>
      <c r="Q34" s="616"/>
      <c r="R34" s="616"/>
      <c r="S34" s="616"/>
      <c r="T34" s="616"/>
      <c r="U34" s="616"/>
      <c r="V34" s="616"/>
      <c r="W34" s="616"/>
      <c r="X34" s="616"/>
      <c r="Y34" s="616"/>
      <c r="Z34" s="113"/>
      <c r="AA34" s="113"/>
      <c r="AB34" s="113"/>
      <c r="AC34" s="113"/>
      <c r="AD34" s="113"/>
      <c r="AE34" s="113"/>
      <c r="AF34" s="113"/>
      <c r="AG34" s="113"/>
      <c r="AH34" s="113"/>
      <c r="AI34" s="113"/>
      <c r="AJ34" s="113"/>
      <c r="AK34" s="113"/>
    </row>
    <row r="35" spans="2:37" s="103" customFormat="1" ht="30.75" customHeight="1">
      <c r="B35" s="243"/>
      <c r="C35" s="614"/>
      <c r="D35" s="615"/>
      <c r="E35" s="116"/>
      <c r="F35" s="616"/>
      <c r="G35" s="616"/>
      <c r="H35" s="616"/>
      <c r="I35" s="616"/>
      <c r="J35" s="616"/>
      <c r="K35" s="616"/>
      <c r="L35" s="616"/>
      <c r="M35" s="616"/>
      <c r="N35" s="616"/>
      <c r="O35" s="616"/>
      <c r="P35" s="616"/>
      <c r="Q35" s="616"/>
      <c r="R35" s="616"/>
      <c r="S35" s="616"/>
      <c r="T35" s="616"/>
      <c r="U35" s="616"/>
      <c r="V35" s="616"/>
      <c r="W35" s="616"/>
      <c r="X35" s="616"/>
      <c r="Y35" s="616"/>
      <c r="Z35" s="113"/>
      <c r="AA35" s="113"/>
      <c r="AB35" s="113"/>
      <c r="AC35" s="113"/>
      <c r="AD35" s="113"/>
      <c r="AE35" s="113"/>
      <c r="AF35" s="113"/>
      <c r="AG35" s="113"/>
      <c r="AH35" s="113"/>
      <c r="AI35" s="113"/>
      <c r="AJ35" s="113"/>
      <c r="AK35" s="113"/>
    </row>
    <row r="36" spans="2:37" s="103" customFormat="1" ht="30.75" customHeight="1">
      <c r="B36" s="243"/>
      <c r="C36" s="614"/>
      <c r="D36" s="615"/>
      <c r="E36" s="116"/>
      <c r="F36" s="616"/>
      <c r="G36" s="616"/>
      <c r="H36" s="616"/>
      <c r="I36" s="616"/>
      <c r="J36" s="616"/>
      <c r="K36" s="616"/>
      <c r="L36" s="616"/>
      <c r="M36" s="616"/>
      <c r="N36" s="616"/>
      <c r="O36" s="616"/>
      <c r="P36" s="616"/>
      <c r="Q36" s="616"/>
      <c r="R36" s="616"/>
      <c r="S36" s="616"/>
      <c r="T36" s="616"/>
      <c r="U36" s="616"/>
      <c r="V36" s="616"/>
      <c r="W36" s="616"/>
      <c r="X36" s="616"/>
      <c r="Y36" s="616"/>
      <c r="Z36" s="113"/>
      <c r="AA36" s="113"/>
      <c r="AB36" s="113"/>
      <c r="AC36" s="113"/>
      <c r="AD36" s="113"/>
      <c r="AE36" s="113"/>
      <c r="AF36" s="113"/>
      <c r="AG36" s="113"/>
      <c r="AH36" s="113"/>
      <c r="AI36" s="113"/>
      <c r="AJ36" s="113"/>
      <c r="AK36" s="113"/>
    </row>
    <row r="37" spans="2:37" s="103" customFormat="1" ht="30.75" customHeight="1">
      <c r="B37" s="243"/>
      <c r="C37" s="614"/>
      <c r="D37" s="615"/>
      <c r="E37" s="116"/>
      <c r="F37" s="616"/>
      <c r="G37" s="616"/>
      <c r="H37" s="616"/>
      <c r="I37" s="616"/>
      <c r="J37" s="616"/>
      <c r="K37" s="616"/>
      <c r="L37" s="616"/>
      <c r="M37" s="616"/>
      <c r="N37" s="616"/>
      <c r="O37" s="616"/>
      <c r="P37" s="616"/>
      <c r="Q37" s="616"/>
      <c r="R37" s="616"/>
      <c r="S37" s="616"/>
      <c r="T37" s="616"/>
      <c r="U37" s="616"/>
      <c r="V37" s="616"/>
      <c r="W37" s="616"/>
      <c r="X37" s="616"/>
      <c r="Y37" s="616"/>
      <c r="Z37" s="113"/>
      <c r="AA37" s="113"/>
      <c r="AB37" s="113"/>
      <c r="AC37" s="113"/>
      <c r="AD37" s="113"/>
      <c r="AE37" s="113"/>
      <c r="AF37" s="113"/>
      <c r="AG37" s="113"/>
      <c r="AH37" s="113"/>
      <c r="AI37" s="113"/>
      <c r="AJ37" s="113"/>
      <c r="AK37" s="113"/>
    </row>
    <row r="38" spans="2:37" s="103" customFormat="1" ht="30.75" customHeight="1">
      <c r="B38" s="243"/>
      <c r="C38" s="614"/>
      <c r="D38" s="615"/>
      <c r="E38" s="116"/>
      <c r="F38" s="616"/>
      <c r="G38" s="616"/>
      <c r="H38" s="616"/>
      <c r="I38" s="616"/>
      <c r="J38" s="616"/>
      <c r="K38" s="616"/>
      <c r="L38" s="616"/>
      <c r="M38" s="616"/>
      <c r="N38" s="616"/>
      <c r="O38" s="616"/>
      <c r="P38" s="616"/>
      <c r="Q38" s="616"/>
      <c r="R38" s="616"/>
      <c r="S38" s="616"/>
      <c r="T38" s="616"/>
      <c r="U38" s="616"/>
      <c r="V38" s="616"/>
      <c r="W38" s="616"/>
      <c r="X38" s="616"/>
      <c r="Y38" s="616"/>
      <c r="Z38" s="113"/>
      <c r="AA38" s="113"/>
      <c r="AB38" s="113"/>
      <c r="AC38" s="113"/>
      <c r="AD38" s="113"/>
      <c r="AE38" s="113"/>
      <c r="AF38" s="113"/>
      <c r="AG38" s="113"/>
      <c r="AH38" s="113"/>
      <c r="AI38" s="113"/>
      <c r="AJ38" s="113"/>
      <c r="AK38" s="113"/>
    </row>
    <row r="39" spans="2:37" s="103" customFormat="1" ht="30.75" customHeight="1">
      <c r="B39" s="243"/>
      <c r="C39" s="614"/>
      <c r="D39" s="615"/>
      <c r="E39" s="116"/>
      <c r="F39" s="616"/>
      <c r="G39" s="616"/>
      <c r="H39" s="616"/>
      <c r="I39" s="616"/>
      <c r="J39" s="616"/>
      <c r="K39" s="616"/>
      <c r="L39" s="616"/>
      <c r="M39" s="616"/>
      <c r="N39" s="616"/>
      <c r="O39" s="616"/>
      <c r="P39" s="616"/>
      <c r="Q39" s="616"/>
      <c r="R39" s="616"/>
      <c r="S39" s="616"/>
      <c r="T39" s="616"/>
      <c r="U39" s="616"/>
      <c r="V39" s="616"/>
      <c r="W39" s="616"/>
      <c r="X39" s="616"/>
      <c r="Y39" s="616"/>
      <c r="Z39" s="113"/>
      <c r="AA39" s="113"/>
      <c r="AB39" s="113"/>
      <c r="AC39" s="113"/>
      <c r="AD39" s="113"/>
      <c r="AE39" s="113"/>
      <c r="AF39" s="113"/>
      <c r="AG39" s="113"/>
      <c r="AH39" s="113"/>
      <c r="AI39" s="113"/>
      <c r="AJ39" s="113"/>
      <c r="AK39" s="113"/>
    </row>
    <row r="40" spans="2:37" s="103" customFormat="1" ht="30.75" customHeight="1">
      <c r="B40" s="243"/>
      <c r="C40" s="614"/>
      <c r="D40" s="615"/>
      <c r="E40" s="116"/>
      <c r="F40" s="616"/>
      <c r="G40" s="616"/>
      <c r="H40" s="616"/>
      <c r="I40" s="616"/>
      <c r="J40" s="616"/>
      <c r="K40" s="616"/>
      <c r="L40" s="616"/>
      <c r="M40" s="616"/>
      <c r="N40" s="616"/>
      <c r="O40" s="616"/>
      <c r="P40" s="616"/>
      <c r="Q40" s="616"/>
      <c r="R40" s="616"/>
      <c r="S40" s="616"/>
      <c r="T40" s="616"/>
      <c r="U40" s="616"/>
      <c r="V40" s="616"/>
      <c r="W40" s="616"/>
      <c r="X40" s="616"/>
      <c r="Y40" s="616"/>
      <c r="Z40" s="113"/>
      <c r="AA40" s="113"/>
      <c r="AB40" s="113"/>
      <c r="AC40" s="113"/>
      <c r="AD40" s="113"/>
      <c r="AE40" s="113"/>
      <c r="AF40" s="113"/>
      <c r="AG40" s="113"/>
      <c r="AH40" s="113"/>
      <c r="AI40" s="113"/>
      <c r="AJ40" s="113"/>
      <c r="AK40" s="113"/>
    </row>
    <row r="41" spans="2:37" s="103" customFormat="1" ht="30.75" customHeight="1">
      <c r="B41" s="243"/>
      <c r="C41" s="614"/>
      <c r="D41" s="615"/>
      <c r="E41" s="116"/>
      <c r="F41" s="616"/>
      <c r="G41" s="616"/>
      <c r="H41" s="616"/>
      <c r="I41" s="616"/>
      <c r="J41" s="616"/>
      <c r="K41" s="616"/>
      <c r="L41" s="616"/>
      <c r="M41" s="616"/>
      <c r="N41" s="616"/>
      <c r="O41" s="616"/>
      <c r="P41" s="616"/>
      <c r="Q41" s="616"/>
      <c r="R41" s="616"/>
      <c r="S41" s="616"/>
      <c r="T41" s="616"/>
      <c r="U41" s="616"/>
      <c r="V41" s="616"/>
      <c r="W41" s="616"/>
      <c r="X41" s="616"/>
      <c r="Y41" s="616"/>
      <c r="Z41" s="113"/>
      <c r="AA41" s="113"/>
      <c r="AB41" s="113"/>
      <c r="AC41" s="113"/>
      <c r="AD41" s="113"/>
      <c r="AE41" s="113"/>
      <c r="AF41" s="113"/>
      <c r="AG41" s="113"/>
      <c r="AH41" s="113"/>
      <c r="AI41" s="113"/>
      <c r="AJ41" s="113"/>
      <c r="AK41" s="113"/>
    </row>
    <row r="42" spans="2:37" s="103" customFormat="1" ht="30.75" customHeight="1">
      <c r="B42" s="243"/>
      <c r="C42" s="614"/>
      <c r="D42" s="615"/>
      <c r="E42" s="116"/>
      <c r="F42" s="616"/>
      <c r="G42" s="616"/>
      <c r="H42" s="616"/>
      <c r="I42" s="616"/>
      <c r="J42" s="616"/>
      <c r="K42" s="616"/>
      <c r="L42" s="616"/>
      <c r="M42" s="616"/>
      <c r="N42" s="616"/>
      <c r="O42" s="616"/>
      <c r="P42" s="616"/>
      <c r="Q42" s="616"/>
      <c r="R42" s="616"/>
      <c r="S42" s="616"/>
      <c r="T42" s="616"/>
      <c r="U42" s="616"/>
      <c r="V42" s="616"/>
      <c r="W42" s="616"/>
      <c r="X42" s="616"/>
      <c r="Y42" s="616"/>
      <c r="Z42" s="113"/>
      <c r="AA42" s="113"/>
      <c r="AB42" s="113"/>
      <c r="AC42" s="113"/>
      <c r="AD42" s="113"/>
      <c r="AE42" s="113"/>
      <c r="AF42" s="113"/>
      <c r="AG42" s="113"/>
      <c r="AH42" s="113"/>
      <c r="AI42" s="113"/>
      <c r="AJ42" s="113"/>
      <c r="AK42" s="113"/>
    </row>
    <row r="43" spans="2:37" s="102" customFormat="1" ht="18" customHeight="1">
      <c r="B43" s="109"/>
      <c r="C43" s="109" t="s">
        <v>695</v>
      </c>
      <c r="D43" s="109"/>
      <c r="E43" s="110"/>
      <c r="F43" s="109"/>
      <c r="G43" s="109"/>
      <c r="H43" s="109"/>
      <c r="I43" s="109"/>
      <c r="J43" s="109"/>
      <c r="K43" s="109"/>
      <c r="L43" s="109"/>
      <c r="M43" s="109"/>
      <c r="N43" s="109"/>
      <c r="O43" s="109"/>
      <c r="P43" s="109"/>
      <c r="Q43" s="109"/>
      <c r="R43" s="109"/>
      <c r="S43" s="109"/>
      <c r="T43" s="109"/>
      <c r="U43" s="109"/>
      <c r="V43" s="109"/>
      <c r="W43" s="109"/>
      <c r="X43" s="109"/>
      <c r="Y43" s="109"/>
      <c r="Z43" s="113"/>
      <c r="AA43" s="113"/>
      <c r="AB43" s="113"/>
      <c r="AC43" s="113"/>
      <c r="AD43" s="113"/>
      <c r="AE43" s="113"/>
      <c r="AF43" s="113"/>
      <c r="AG43" s="113"/>
      <c r="AH43" s="113"/>
      <c r="AI43" s="113"/>
      <c r="AJ43" s="113"/>
      <c r="AK43" s="113"/>
    </row>
    <row r="44" spans="2:37" s="102" customFormat="1" ht="18" customHeight="1">
      <c r="B44" s="109"/>
      <c r="C44" s="109" t="s">
        <v>122</v>
      </c>
      <c r="D44" s="109"/>
      <c r="E44" s="111" t="e">
        <f>#REF!+#REF!</f>
        <v>#REF!</v>
      </c>
      <c r="F44" s="757" t="e">
        <f>IF(E44=E45,"正确","错误")</f>
        <v>#REF!</v>
      </c>
      <c r="G44" s="112"/>
      <c r="H44" s="112"/>
      <c r="I44" s="112"/>
      <c r="J44" s="112"/>
      <c r="K44" s="112"/>
      <c r="L44" s="112"/>
      <c r="M44" s="112"/>
      <c r="N44" s="112"/>
      <c r="O44" s="112"/>
      <c r="P44" s="112"/>
      <c r="Q44" s="109"/>
      <c r="R44" s="109"/>
      <c r="S44" s="109"/>
      <c r="T44" s="109"/>
      <c r="U44" s="109"/>
      <c r="V44" s="109"/>
      <c r="W44" s="109"/>
      <c r="X44" s="109"/>
      <c r="Y44" s="109"/>
      <c r="Z44" s="109"/>
      <c r="AA44" s="109"/>
      <c r="AB44" s="109"/>
      <c r="AC44" s="109"/>
      <c r="AD44" s="109"/>
      <c r="AE44" s="109"/>
      <c r="AF44" s="109"/>
      <c r="AG44" s="109"/>
      <c r="AH44" s="109"/>
      <c r="AI44" s="109"/>
      <c r="AJ44" s="109"/>
    </row>
    <row r="45" spans="2:37" s="102" customFormat="1" ht="18" customHeight="1">
      <c r="B45" s="109"/>
      <c r="C45" s="109" t="s">
        <v>118</v>
      </c>
      <c r="D45" s="109"/>
      <c r="E45" s="111" t="e">
        <f>#REF!</f>
        <v>#REF!</v>
      </c>
      <c r="F45" s="757"/>
      <c r="G45" s="112"/>
      <c r="H45" s="112"/>
      <c r="I45" s="112"/>
      <c r="J45" s="112"/>
      <c r="K45" s="112"/>
      <c r="L45" s="112"/>
      <c r="M45" s="112"/>
      <c r="N45" s="112"/>
      <c r="O45" s="112"/>
      <c r="P45" s="112"/>
      <c r="Q45" s="109"/>
      <c r="R45" s="109"/>
      <c r="S45" s="109"/>
      <c r="T45" s="109"/>
      <c r="U45" s="109"/>
      <c r="V45" s="109"/>
      <c r="W45" s="109"/>
      <c r="X45" s="109"/>
      <c r="Y45" s="109"/>
      <c r="Z45" s="109"/>
      <c r="AA45" s="109"/>
      <c r="AB45" s="109"/>
      <c r="AC45" s="109"/>
      <c r="AD45" s="109"/>
      <c r="AE45" s="109"/>
      <c r="AF45" s="109"/>
      <c r="AG45" s="109"/>
      <c r="AH45" s="109"/>
      <c r="AI45" s="109"/>
      <c r="AJ45" s="109"/>
    </row>
    <row r="46" spans="2:37" ht="18" customHeight="1">
      <c r="B46" s="113"/>
      <c r="C46" s="113"/>
      <c r="D46" s="113"/>
      <c r="E46" s="114"/>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row>
    <row r="47" spans="2:37" ht="18" customHeight="1">
      <c r="B47" s="113"/>
      <c r="C47" s="113"/>
      <c r="D47" s="113"/>
      <c r="E47" s="114"/>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row>
    <row r="48" spans="2:37" ht="18" customHeight="1">
      <c r="B48" s="113"/>
      <c r="C48" s="115" t="s">
        <v>123</v>
      </c>
      <c r="D48" s="115"/>
      <c r="E48" s="114"/>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row>
    <row r="49" spans="2:36" ht="18" customHeight="1">
      <c r="B49" s="113"/>
      <c r="C49" s="112" t="s">
        <v>124</v>
      </c>
      <c r="D49" s="112"/>
      <c r="E49" s="114"/>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row>
    <row r="50" spans="2:36" ht="18" customHeight="1">
      <c r="B50" s="113"/>
      <c r="C50" s="112" t="s">
        <v>125</v>
      </c>
      <c r="D50" s="112"/>
      <c r="E50" s="114"/>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row>
    <row r="51" spans="2:36" ht="18" customHeight="1">
      <c r="B51" s="113"/>
      <c r="C51" s="112"/>
      <c r="D51" s="112"/>
      <c r="E51" s="114"/>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row>
    <row r="52" spans="2:36" ht="18" customHeight="1">
      <c r="B52" s="469" t="s">
        <v>554</v>
      </c>
      <c r="C52" s="470"/>
      <c r="D52"/>
      <c r="E52" s="116"/>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row>
    <row r="53" spans="2:36" ht="18" customHeight="1">
      <c r="B53" s="113"/>
      <c r="C53" s="113"/>
      <c r="D53" s="113"/>
      <c r="E53" s="116"/>
      <c r="F53" s="113"/>
      <c r="G53" s="117"/>
      <c r="H53" s="117"/>
      <c r="I53" s="117"/>
      <c r="J53" s="117"/>
      <c r="K53" s="117"/>
      <c r="L53" s="117"/>
      <c r="M53" s="117"/>
      <c r="N53" s="117"/>
      <c r="O53" s="117"/>
      <c r="P53" s="117"/>
      <c r="Q53" s="117"/>
      <c r="R53" s="117"/>
      <c r="S53" s="117"/>
      <c r="T53" s="117"/>
      <c r="U53" s="113"/>
      <c r="V53" s="113"/>
      <c r="W53" s="113"/>
      <c r="X53" s="113"/>
      <c r="Y53" s="113"/>
      <c r="Z53" s="113"/>
      <c r="AA53" s="113"/>
      <c r="AB53" s="113"/>
      <c r="AC53" s="113"/>
      <c r="AD53" s="113"/>
      <c r="AE53" s="113"/>
      <c r="AF53" s="113"/>
      <c r="AG53" s="113"/>
      <c r="AH53" s="113"/>
      <c r="AI53" s="113"/>
      <c r="AJ53" s="113"/>
    </row>
    <row r="54" spans="2:36" ht="18" customHeight="1">
      <c r="B54" s="113"/>
      <c r="C54" s="113"/>
      <c r="D54" s="113"/>
      <c r="E54" s="116"/>
      <c r="F54" s="113"/>
      <c r="G54" s="117"/>
      <c r="H54" s="117"/>
      <c r="I54" s="117"/>
      <c r="J54" s="117"/>
      <c r="K54" s="117"/>
      <c r="L54" s="117"/>
      <c r="M54" s="117"/>
      <c r="N54" s="117"/>
      <c r="O54" s="117"/>
      <c r="P54" s="117"/>
      <c r="Q54" s="117"/>
      <c r="R54" s="117"/>
      <c r="S54" s="117"/>
      <c r="T54" s="117"/>
      <c r="U54" s="113"/>
      <c r="V54" s="113"/>
      <c r="W54" s="113"/>
      <c r="X54" s="113"/>
      <c r="Y54" s="113"/>
      <c r="Z54" s="113"/>
      <c r="AA54" s="113"/>
      <c r="AB54" s="113"/>
      <c r="AC54" s="113"/>
      <c r="AD54" s="113"/>
      <c r="AE54" s="113"/>
      <c r="AF54" s="113"/>
      <c r="AG54" s="113"/>
      <c r="AH54" s="113"/>
      <c r="AI54" s="113"/>
      <c r="AJ54" s="113"/>
    </row>
    <row r="55" spans="2:36" ht="18" customHeight="1">
      <c r="B55" s="113"/>
      <c r="C55" s="113"/>
      <c r="D55" s="113"/>
      <c r="E55" s="116"/>
      <c r="F55" s="113"/>
      <c r="G55" s="117"/>
      <c r="H55" s="117"/>
      <c r="I55" s="117"/>
      <c r="J55" s="117"/>
      <c r="K55" s="117"/>
      <c r="L55" s="117"/>
      <c r="M55" s="117"/>
      <c r="N55" s="117"/>
      <c r="O55" s="117"/>
      <c r="P55" s="117"/>
      <c r="Q55" s="117"/>
      <c r="R55" s="117"/>
      <c r="S55" s="117"/>
      <c r="T55" s="117"/>
      <c r="U55" s="113"/>
      <c r="V55" s="113"/>
      <c r="W55" s="113"/>
      <c r="X55" s="113"/>
      <c r="Y55" s="113"/>
      <c r="Z55" s="113"/>
      <c r="AA55" s="113"/>
      <c r="AB55" s="113"/>
      <c r="AC55" s="113"/>
      <c r="AD55" s="113"/>
      <c r="AE55" s="113"/>
      <c r="AF55" s="113"/>
      <c r="AG55" s="113"/>
      <c r="AH55" s="113"/>
      <c r="AI55" s="113"/>
      <c r="AJ55" s="113"/>
    </row>
    <row r="56" spans="2:36" ht="18" customHeight="1">
      <c r="B56" s="113"/>
      <c r="C56" s="113"/>
      <c r="D56" s="113"/>
      <c r="E56" s="114"/>
      <c r="F56" s="113"/>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c r="AI56" s="117"/>
      <c r="AJ56" s="117"/>
    </row>
    <row r="57" spans="2:36" ht="18" customHeight="1">
      <c r="B57" s="113"/>
      <c r="C57" s="113"/>
      <c r="D57" s="113"/>
      <c r="E57" s="114"/>
      <c r="F57" s="113"/>
      <c r="G57" s="117"/>
      <c r="H57" s="117"/>
      <c r="I57" s="117"/>
      <c r="J57" s="117"/>
      <c r="K57" s="117"/>
      <c r="L57" s="117"/>
      <c r="M57" s="117"/>
      <c r="N57" s="117"/>
      <c r="O57" s="117"/>
      <c r="P57" s="117"/>
      <c r="Q57" s="117"/>
      <c r="R57" s="117"/>
      <c r="S57" s="117"/>
      <c r="T57" s="117"/>
      <c r="U57" s="113"/>
      <c r="V57" s="113"/>
      <c r="W57" s="113"/>
      <c r="X57" s="113"/>
      <c r="Y57" s="113"/>
      <c r="Z57" s="113"/>
      <c r="AA57" s="113"/>
      <c r="AB57" s="113"/>
      <c r="AC57" s="113"/>
      <c r="AD57" s="113"/>
      <c r="AE57" s="113"/>
      <c r="AF57" s="113"/>
      <c r="AG57" s="113"/>
      <c r="AH57" s="113"/>
      <c r="AI57" s="113"/>
      <c r="AJ57" s="113"/>
    </row>
    <row r="58" spans="2:36" ht="18" customHeight="1">
      <c r="B58" s="113"/>
      <c r="C58" s="113"/>
      <c r="D58" s="113"/>
      <c r="E58" s="114"/>
      <c r="F58" s="113"/>
      <c r="G58" s="117"/>
      <c r="H58" s="117"/>
      <c r="I58" s="117"/>
      <c r="J58" s="117"/>
      <c r="K58" s="117"/>
      <c r="L58" s="117"/>
      <c r="M58" s="117"/>
      <c r="N58" s="117"/>
      <c r="O58" s="117"/>
      <c r="P58" s="117"/>
      <c r="Q58" s="117"/>
      <c r="R58" s="117"/>
      <c r="S58" s="117"/>
      <c r="T58" s="117"/>
      <c r="U58" s="113"/>
      <c r="V58" s="113"/>
      <c r="W58" s="113"/>
      <c r="X58" s="113"/>
      <c r="Y58" s="113"/>
      <c r="Z58" s="113"/>
      <c r="AA58" s="113"/>
      <c r="AB58" s="113"/>
      <c r="AC58" s="113"/>
      <c r="AD58" s="113"/>
      <c r="AE58" s="113"/>
      <c r="AF58" s="113"/>
      <c r="AG58" s="113"/>
      <c r="AH58" s="113"/>
      <c r="AI58" s="113"/>
      <c r="AJ58" s="113"/>
    </row>
    <row r="60" spans="2:36" ht="18" customHeight="1">
      <c r="O60" s="118"/>
      <c r="P60" s="118"/>
      <c r="Q60" s="118"/>
      <c r="R60" s="118"/>
    </row>
  </sheetData>
  <mergeCells count="2">
    <mergeCell ref="B2:Y2"/>
    <mergeCell ref="F44:F45"/>
  </mergeCells>
  <phoneticPr fontId="27" type="noConversion"/>
  <hyperlinks>
    <hyperlink ref="B52" location="目录!A1" display="点击返回目录"/>
  </hyperlinks>
  <pageMargins left="0.70763888888888904" right="0.70763888888888904" top="0.74791666666666701" bottom="0.35416666666666702" header="0.31388888888888899" footer="0.31388888888888899"/>
  <pageSetup paperSize="9" scale="31"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1"/>
  <sheetViews>
    <sheetView view="pageBreakPreview" zoomScale="85" zoomScaleNormal="55" workbookViewId="0">
      <selection activeCell="F3" sqref="F3"/>
    </sheetView>
  </sheetViews>
  <sheetFormatPr defaultColWidth="9" defaultRowHeight="14"/>
  <cols>
    <col min="1" max="1" width="9" style="88"/>
    <col min="2" max="2" width="20.26953125" style="88" customWidth="1"/>
    <col min="3" max="3" width="13.6328125" style="88" customWidth="1"/>
    <col min="4" max="18" width="8.6328125" style="88" customWidth="1"/>
    <col min="19" max="19" width="8.08984375" style="88" customWidth="1"/>
    <col min="20" max="20" width="9" style="88"/>
    <col min="21" max="21" width="9" style="88" customWidth="1"/>
    <col min="22" max="16384" width="9" style="88"/>
  </cols>
  <sheetData>
    <row r="1" spans="1:24" ht="57" customHeight="1">
      <c r="A1" s="758" t="s">
        <v>728</v>
      </c>
      <c r="B1" s="759"/>
      <c r="C1" s="759"/>
      <c r="D1" s="759"/>
      <c r="E1" s="759"/>
      <c r="F1" s="759"/>
      <c r="G1" s="759"/>
      <c r="H1" s="759"/>
      <c r="I1" s="759"/>
      <c r="J1" s="759"/>
      <c r="K1" s="759"/>
      <c r="L1" s="759"/>
      <c r="M1" s="759"/>
      <c r="N1" s="759"/>
      <c r="O1" s="759"/>
      <c r="P1" s="759"/>
      <c r="Q1" s="759"/>
      <c r="R1" s="759"/>
      <c r="S1" s="759"/>
      <c r="T1" s="759"/>
      <c r="U1" s="759"/>
      <c r="V1" s="759"/>
      <c r="W1" s="759"/>
      <c r="X1" s="759"/>
    </row>
    <row r="2" spans="1:24" s="558" customFormat="1" ht="33" customHeight="1">
      <c r="A2" s="90" t="s">
        <v>588</v>
      </c>
      <c r="B2" s="90" t="s">
        <v>587</v>
      </c>
      <c r="C2" s="90" t="s">
        <v>589</v>
      </c>
      <c r="D2" s="557" t="s">
        <v>92</v>
      </c>
      <c r="E2" s="484" t="s">
        <v>477</v>
      </c>
      <c r="F2" s="484" t="s">
        <v>478</v>
      </c>
      <c r="G2" s="484" t="s">
        <v>479</v>
      </c>
      <c r="H2" s="484" t="s">
        <v>480</v>
      </c>
      <c r="I2" s="484" t="s">
        <v>481</v>
      </c>
      <c r="J2" s="484" t="s">
        <v>482</v>
      </c>
      <c r="K2" s="484" t="s">
        <v>483</v>
      </c>
      <c r="L2" s="484" t="s">
        <v>484</v>
      </c>
      <c r="M2" s="484" t="s">
        <v>485</v>
      </c>
      <c r="N2" s="484" t="s">
        <v>486</v>
      </c>
      <c r="O2" s="484" t="s">
        <v>487</v>
      </c>
      <c r="P2" s="484" t="s">
        <v>488</v>
      </c>
      <c r="Q2" s="484" t="s">
        <v>489</v>
      </c>
      <c r="R2" s="484" t="s">
        <v>490</v>
      </c>
      <c r="S2" s="484" t="s">
        <v>491</v>
      </c>
      <c r="T2" s="484" t="s">
        <v>492</v>
      </c>
      <c r="U2" s="484" t="s">
        <v>493</v>
      </c>
      <c r="V2" s="484" t="s">
        <v>494</v>
      </c>
      <c r="W2" s="484" t="s">
        <v>495</v>
      </c>
      <c r="X2" s="484" t="s">
        <v>496</v>
      </c>
    </row>
    <row r="3" spans="1:24" ht="28" customHeight="1">
      <c r="A3" s="556">
        <v>1</v>
      </c>
      <c r="B3" s="90" t="s">
        <v>126</v>
      </c>
      <c r="C3" s="89"/>
      <c r="D3" s="91">
        <f>SUM(E3:X3)</f>
        <v>7697.2536000000046</v>
      </c>
      <c r="E3" s="91">
        <f>'5.1运营成本明细表'!G3</f>
        <v>0</v>
      </c>
      <c r="F3" s="91">
        <f>'5.1运营成本明细表'!H3</f>
        <v>100</v>
      </c>
      <c r="G3" s="91">
        <f>'5.1运营成本明细表'!I3</f>
        <v>100</v>
      </c>
      <c r="H3" s="91">
        <f>'5.1运营成本明细表'!J3</f>
        <v>1299.4507200000005</v>
      </c>
      <c r="I3" s="91">
        <f>'5.1运营成本明细表'!K3</f>
        <v>567.28028800000004</v>
      </c>
      <c r="J3" s="91">
        <f>'5.1运营成本明细表'!L3</f>
        <v>567.28028800000004</v>
      </c>
      <c r="K3" s="91">
        <f>'5.1运营成本明细表'!M3</f>
        <v>747.19789600000013</v>
      </c>
      <c r="L3" s="91">
        <f>'5.1运营成本明细表'!N3</f>
        <v>447.33521600000006</v>
      </c>
      <c r="M3" s="91">
        <f>'5.1运营成本明细表'!O3</f>
        <v>327.39014400000002</v>
      </c>
      <c r="N3" s="91">
        <f>'5.1运营成本明细表'!P3</f>
        <v>267.41760800000003</v>
      </c>
      <c r="O3" s="91">
        <f>'5.1运营成本明细表'!Q3</f>
        <v>207.44507200000001</v>
      </c>
      <c r="P3" s="91">
        <f>'5.1运营成本明细表'!R3</f>
        <v>207.44507200000001</v>
      </c>
      <c r="Q3" s="91">
        <f>'5.1运营成本明细表'!S3</f>
        <v>207.44507200000001</v>
      </c>
      <c r="R3" s="91">
        <f>'5.1运营成本明细表'!T3</f>
        <v>207.44507200000001</v>
      </c>
      <c r="S3" s="91">
        <f>'5.1运营成本明细表'!U3</f>
        <v>207.44507200000001</v>
      </c>
      <c r="T3" s="91">
        <f>'5.1运营成本明细表'!V3</f>
        <v>207.44507200000001</v>
      </c>
      <c r="U3" s="91">
        <f>'5.1运营成本明细表'!W3</f>
        <v>207.44507200000001</v>
      </c>
      <c r="V3" s="91">
        <f>'5.1运营成本明细表'!X3</f>
        <v>207.44507200000001</v>
      </c>
      <c r="W3" s="91">
        <f>'5.1运营成本明细表'!Y3</f>
        <v>207.44507200000001</v>
      </c>
      <c r="X3" s="91">
        <f>'5.1运营成本明细表'!Z3</f>
        <v>1406.8957920000003</v>
      </c>
    </row>
    <row r="4" spans="1:24" ht="40.5" hidden="1" customHeight="1">
      <c r="A4" s="92"/>
      <c r="B4" s="93"/>
      <c r="C4" s="94"/>
      <c r="D4" s="95"/>
      <c r="E4" s="95"/>
      <c r="F4" s="95"/>
      <c r="G4" s="95"/>
      <c r="H4" s="95"/>
      <c r="I4" s="95"/>
      <c r="J4" s="95"/>
      <c r="K4" s="95"/>
      <c r="L4" s="95"/>
      <c r="M4" s="95"/>
      <c r="N4" s="95"/>
      <c r="O4" s="95"/>
      <c r="P4" s="95"/>
      <c r="Q4" s="95"/>
      <c r="R4" s="95"/>
      <c r="S4" s="374"/>
    </row>
    <row r="5" spans="1:24" ht="40.5" hidden="1" customHeight="1">
      <c r="A5" s="92"/>
      <c r="B5" s="93"/>
      <c r="C5" s="96"/>
      <c r="D5" s="95"/>
      <c r="E5" s="95"/>
      <c r="F5" s="95"/>
      <c r="G5" s="95"/>
      <c r="H5" s="95"/>
      <c r="I5" s="95"/>
      <c r="J5" s="95"/>
      <c r="K5" s="95"/>
      <c r="L5" s="95"/>
      <c r="M5" s="95"/>
      <c r="N5" s="95"/>
      <c r="O5" s="95"/>
      <c r="P5" s="95"/>
      <c r="Q5" s="95"/>
      <c r="R5" s="95"/>
      <c r="S5" s="374"/>
    </row>
    <row r="6" spans="1:24" ht="40.5" hidden="1" customHeight="1">
      <c r="A6" s="92"/>
      <c r="B6" s="93"/>
      <c r="C6" s="97"/>
      <c r="D6" s="95"/>
      <c r="E6" s="95"/>
      <c r="F6" s="95"/>
      <c r="G6" s="95"/>
      <c r="H6" s="95"/>
      <c r="I6" s="95"/>
      <c r="J6" s="95"/>
      <c r="K6" s="95"/>
      <c r="L6" s="95"/>
      <c r="M6" s="95"/>
      <c r="N6" s="95"/>
      <c r="O6" s="95"/>
      <c r="P6" s="95"/>
      <c r="Q6" s="95"/>
      <c r="R6" s="95"/>
      <c r="S6" s="374"/>
    </row>
    <row r="7" spans="1:24" ht="40.5" hidden="1" customHeight="1">
      <c r="A7" s="92"/>
      <c r="B7" s="93"/>
      <c r="C7" s="96"/>
      <c r="D7" s="95"/>
      <c r="E7" s="95"/>
      <c r="F7" s="95"/>
      <c r="G7" s="95"/>
      <c r="H7" s="95"/>
      <c r="I7" s="95"/>
      <c r="J7" s="95"/>
      <c r="K7" s="95"/>
      <c r="L7" s="95"/>
      <c r="M7" s="95"/>
      <c r="N7" s="95"/>
      <c r="O7" s="95"/>
      <c r="P7" s="95"/>
      <c r="Q7" s="95"/>
      <c r="R7" s="95"/>
      <c r="S7" s="374"/>
    </row>
    <row r="8" spans="1:24" ht="48" hidden="1" customHeight="1">
      <c r="A8" s="92"/>
      <c r="B8" s="93"/>
      <c r="C8" s="96"/>
      <c r="D8" s="95"/>
      <c r="E8" s="95"/>
      <c r="F8" s="95"/>
      <c r="G8" s="95"/>
      <c r="H8" s="95"/>
      <c r="I8" s="95"/>
      <c r="J8" s="95"/>
      <c r="K8" s="95"/>
      <c r="L8" s="95"/>
      <c r="M8" s="95"/>
      <c r="N8" s="95"/>
      <c r="O8" s="95"/>
      <c r="P8" s="95"/>
      <c r="Q8" s="95"/>
      <c r="R8" s="95"/>
      <c r="S8" s="374"/>
    </row>
    <row r="9" spans="1:24" ht="15">
      <c r="A9" s="469" t="s">
        <v>554</v>
      </c>
      <c r="B9" s="470"/>
      <c r="P9" s="100"/>
      <c r="Q9" s="100"/>
      <c r="R9" s="100"/>
      <c r="S9" s="100"/>
    </row>
    <row r="10" spans="1:24" ht="15">
      <c r="A10" s="469"/>
      <c r="B10" s="474"/>
      <c r="C10"/>
    </row>
    <row r="11" spans="1:24">
      <c r="D11" s="98"/>
    </row>
    <row r="12" spans="1:24">
      <c r="C12" s="99"/>
    </row>
    <row r="14" spans="1:24">
      <c r="P14" s="100"/>
      <c r="Q14" s="100"/>
      <c r="R14" s="100"/>
      <c r="S14" s="100"/>
    </row>
    <row r="21" spans="17:19">
      <c r="Q21" s="100"/>
      <c r="R21" s="100"/>
      <c r="S21" s="100"/>
    </row>
  </sheetData>
  <mergeCells count="1">
    <mergeCell ref="A1:X1"/>
  </mergeCells>
  <phoneticPr fontId="27" type="noConversion"/>
  <hyperlinks>
    <hyperlink ref="A9" location="目录!A1" display="点击返回目录"/>
  </hyperlinks>
  <pageMargins left="0.75" right="0.75" top="1" bottom="1" header="0.5" footer="0.5"/>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9"/>
  <sheetViews>
    <sheetView zoomScale="80" zoomScaleNormal="80" zoomScaleSheetLayoutView="70" workbookViewId="0">
      <selection activeCell="F10" sqref="F10"/>
    </sheetView>
  </sheetViews>
  <sheetFormatPr defaultColWidth="8.90625" defaultRowHeight="14"/>
  <cols>
    <col min="1" max="1" width="7" style="87" customWidth="1"/>
    <col min="2" max="2" width="28.90625" style="87" customWidth="1"/>
    <col min="3" max="3" width="9.7265625" style="87" customWidth="1"/>
    <col min="4" max="4" width="9.90625" style="87" customWidth="1"/>
    <col min="5" max="5" width="10.6328125" style="87" customWidth="1"/>
    <col min="6" max="6" width="12.90625" style="87" customWidth="1"/>
    <col min="7" max="26" width="9.6328125" style="87" customWidth="1"/>
    <col min="27" max="238" width="8.90625" style="87"/>
    <col min="239" max="239" width="6.6328125" style="87" customWidth="1"/>
    <col min="240" max="240" width="53.90625" style="87" customWidth="1"/>
    <col min="241" max="241" width="16" style="87" customWidth="1"/>
    <col min="242" max="242" width="11.90625" style="87" customWidth="1"/>
    <col min="243" max="243" width="12.08984375" style="87" customWidth="1"/>
    <col min="244" max="245" width="11.08984375" style="87" customWidth="1"/>
    <col min="246" max="246" width="12.08984375" style="87" customWidth="1"/>
    <col min="247" max="261" width="12.90625" style="87" customWidth="1"/>
    <col min="262" max="262" width="13.36328125" style="87" customWidth="1"/>
    <col min="263" max="263" width="11.08984375" style="87" customWidth="1"/>
    <col min="264" max="494" width="8.90625" style="87"/>
    <col min="495" max="495" width="6.6328125" style="87" customWidth="1"/>
    <col min="496" max="496" width="53.90625" style="87" customWidth="1"/>
    <col min="497" max="497" width="16" style="87" customWidth="1"/>
    <col min="498" max="498" width="11.90625" style="87" customWidth="1"/>
    <col min="499" max="499" width="12.08984375" style="87" customWidth="1"/>
    <col min="500" max="501" width="11.08984375" style="87" customWidth="1"/>
    <col min="502" max="502" width="12.08984375" style="87" customWidth="1"/>
    <col min="503" max="517" width="12.90625" style="87" customWidth="1"/>
    <col min="518" max="518" width="13.36328125" style="87" customWidth="1"/>
    <col min="519" max="519" width="11.08984375" style="87" customWidth="1"/>
    <col min="520" max="750" width="8.90625" style="87"/>
    <col min="751" max="751" width="6.6328125" style="87" customWidth="1"/>
    <col min="752" max="752" width="53.90625" style="87" customWidth="1"/>
    <col min="753" max="753" width="16" style="87" customWidth="1"/>
    <col min="754" max="754" width="11.90625" style="87" customWidth="1"/>
    <col min="755" max="755" width="12.08984375" style="87" customWidth="1"/>
    <col min="756" max="757" width="11.08984375" style="87" customWidth="1"/>
    <col min="758" max="758" width="12.08984375" style="87" customWidth="1"/>
    <col min="759" max="773" width="12.90625" style="87" customWidth="1"/>
    <col min="774" max="774" width="13.36328125" style="87" customWidth="1"/>
    <col min="775" max="775" width="11.08984375" style="87" customWidth="1"/>
    <col min="776" max="1006" width="8.90625" style="87"/>
    <col min="1007" max="1007" width="6.6328125" style="87" customWidth="1"/>
    <col min="1008" max="1008" width="53.90625" style="87" customWidth="1"/>
    <col min="1009" max="1009" width="16" style="87" customWidth="1"/>
    <col min="1010" max="1010" width="11.90625" style="87" customWidth="1"/>
    <col min="1011" max="1011" width="12.08984375" style="87" customWidth="1"/>
    <col min="1012" max="1013" width="11.08984375" style="87" customWidth="1"/>
    <col min="1014" max="1014" width="12.08984375" style="87" customWidth="1"/>
    <col min="1015" max="1029" width="12.90625" style="87" customWidth="1"/>
    <col min="1030" max="1030" width="13.36328125" style="87" customWidth="1"/>
    <col min="1031" max="1031" width="11.08984375" style="87" customWidth="1"/>
    <col min="1032" max="1262" width="8.90625" style="87"/>
    <col min="1263" max="1263" width="6.6328125" style="87" customWidth="1"/>
    <col min="1264" max="1264" width="53.90625" style="87" customWidth="1"/>
    <col min="1265" max="1265" width="16" style="87" customWidth="1"/>
    <col min="1266" max="1266" width="11.90625" style="87" customWidth="1"/>
    <col min="1267" max="1267" width="12.08984375" style="87" customWidth="1"/>
    <col min="1268" max="1269" width="11.08984375" style="87" customWidth="1"/>
    <col min="1270" max="1270" width="12.08984375" style="87" customWidth="1"/>
    <col min="1271" max="1285" width="12.90625" style="87" customWidth="1"/>
    <col min="1286" max="1286" width="13.36328125" style="87" customWidth="1"/>
    <col min="1287" max="1287" width="11.08984375" style="87" customWidth="1"/>
    <col min="1288" max="1518" width="8.90625" style="87"/>
    <col min="1519" max="1519" width="6.6328125" style="87" customWidth="1"/>
    <col min="1520" max="1520" width="53.90625" style="87" customWidth="1"/>
    <col min="1521" max="1521" width="16" style="87" customWidth="1"/>
    <col min="1522" max="1522" width="11.90625" style="87" customWidth="1"/>
    <col min="1523" max="1523" width="12.08984375" style="87" customWidth="1"/>
    <col min="1524" max="1525" width="11.08984375" style="87" customWidth="1"/>
    <col min="1526" max="1526" width="12.08984375" style="87" customWidth="1"/>
    <col min="1527" max="1541" width="12.90625" style="87" customWidth="1"/>
    <col min="1542" max="1542" width="13.36328125" style="87" customWidth="1"/>
    <col min="1543" max="1543" width="11.08984375" style="87" customWidth="1"/>
    <col min="1544" max="1774" width="8.90625" style="87"/>
    <col min="1775" max="1775" width="6.6328125" style="87" customWidth="1"/>
    <col min="1776" max="1776" width="53.90625" style="87" customWidth="1"/>
    <col min="1777" max="1777" width="16" style="87" customWidth="1"/>
    <col min="1778" max="1778" width="11.90625" style="87" customWidth="1"/>
    <col min="1779" max="1779" width="12.08984375" style="87" customWidth="1"/>
    <col min="1780" max="1781" width="11.08984375" style="87" customWidth="1"/>
    <col min="1782" max="1782" width="12.08984375" style="87" customWidth="1"/>
    <col min="1783" max="1797" width="12.90625" style="87" customWidth="1"/>
    <col min="1798" max="1798" width="13.36328125" style="87" customWidth="1"/>
    <col min="1799" max="1799" width="11.08984375" style="87" customWidth="1"/>
    <col min="1800" max="2030" width="8.90625" style="87"/>
    <col min="2031" max="2031" width="6.6328125" style="87" customWidth="1"/>
    <col min="2032" max="2032" width="53.90625" style="87" customWidth="1"/>
    <col min="2033" max="2033" width="16" style="87" customWidth="1"/>
    <col min="2034" max="2034" width="11.90625" style="87" customWidth="1"/>
    <col min="2035" max="2035" width="12.08984375" style="87" customWidth="1"/>
    <col min="2036" max="2037" width="11.08984375" style="87" customWidth="1"/>
    <col min="2038" max="2038" width="12.08984375" style="87" customWidth="1"/>
    <col min="2039" max="2053" width="12.90625" style="87" customWidth="1"/>
    <col min="2054" max="2054" width="13.36328125" style="87" customWidth="1"/>
    <col min="2055" max="2055" width="11.08984375" style="87" customWidth="1"/>
    <col min="2056" max="2286" width="8.90625" style="87"/>
    <col min="2287" max="2287" width="6.6328125" style="87" customWidth="1"/>
    <col min="2288" max="2288" width="53.90625" style="87" customWidth="1"/>
    <col min="2289" max="2289" width="16" style="87" customWidth="1"/>
    <col min="2290" max="2290" width="11.90625" style="87" customWidth="1"/>
    <col min="2291" max="2291" width="12.08984375" style="87" customWidth="1"/>
    <col min="2292" max="2293" width="11.08984375" style="87" customWidth="1"/>
    <col min="2294" max="2294" width="12.08984375" style="87" customWidth="1"/>
    <col min="2295" max="2309" width="12.90625" style="87" customWidth="1"/>
    <col min="2310" max="2310" width="13.36328125" style="87" customWidth="1"/>
    <col min="2311" max="2311" width="11.08984375" style="87" customWidth="1"/>
    <col min="2312" max="2542" width="8.90625" style="87"/>
    <col min="2543" max="2543" width="6.6328125" style="87" customWidth="1"/>
    <col min="2544" max="2544" width="53.90625" style="87" customWidth="1"/>
    <col min="2545" max="2545" width="16" style="87" customWidth="1"/>
    <col min="2546" max="2546" width="11.90625" style="87" customWidth="1"/>
    <col min="2547" max="2547" width="12.08984375" style="87" customWidth="1"/>
    <col min="2548" max="2549" width="11.08984375" style="87" customWidth="1"/>
    <col min="2550" max="2550" width="12.08984375" style="87" customWidth="1"/>
    <col min="2551" max="2565" width="12.90625" style="87" customWidth="1"/>
    <col min="2566" max="2566" width="13.36328125" style="87" customWidth="1"/>
    <col min="2567" max="2567" width="11.08984375" style="87" customWidth="1"/>
    <col min="2568" max="2798" width="8.90625" style="87"/>
    <col min="2799" max="2799" width="6.6328125" style="87" customWidth="1"/>
    <col min="2800" max="2800" width="53.90625" style="87" customWidth="1"/>
    <col min="2801" max="2801" width="16" style="87" customWidth="1"/>
    <col min="2802" max="2802" width="11.90625" style="87" customWidth="1"/>
    <col min="2803" max="2803" width="12.08984375" style="87" customWidth="1"/>
    <col min="2804" max="2805" width="11.08984375" style="87" customWidth="1"/>
    <col min="2806" max="2806" width="12.08984375" style="87" customWidth="1"/>
    <col min="2807" max="2821" width="12.90625" style="87" customWidth="1"/>
    <col min="2822" max="2822" width="13.36328125" style="87" customWidth="1"/>
    <col min="2823" max="2823" width="11.08984375" style="87" customWidth="1"/>
    <col min="2824" max="3054" width="8.90625" style="87"/>
    <col min="3055" max="3055" width="6.6328125" style="87" customWidth="1"/>
    <col min="3056" max="3056" width="53.90625" style="87" customWidth="1"/>
    <col min="3057" max="3057" width="16" style="87" customWidth="1"/>
    <col min="3058" max="3058" width="11.90625" style="87" customWidth="1"/>
    <col min="3059" max="3059" width="12.08984375" style="87" customWidth="1"/>
    <col min="3060" max="3061" width="11.08984375" style="87" customWidth="1"/>
    <col min="3062" max="3062" width="12.08984375" style="87" customWidth="1"/>
    <col min="3063" max="3077" width="12.90625" style="87" customWidth="1"/>
    <col min="3078" max="3078" width="13.36328125" style="87" customWidth="1"/>
    <col min="3079" max="3079" width="11.08984375" style="87" customWidth="1"/>
    <col min="3080" max="3310" width="8.90625" style="87"/>
    <col min="3311" max="3311" width="6.6328125" style="87" customWidth="1"/>
    <col min="3312" max="3312" width="53.90625" style="87" customWidth="1"/>
    <col min="3313" max="3313" width="16" style="87" customWidth="1"/>
    <col min="3314" max="3314" width="11.90625" style="87" customWidth="1"/>
    <col min="3315" max="3315" width="12.08984375" style="87" customWidth="1"/>
    <col min="3316" max="3317" width="11.08984375" style="87" customWidth="1"/>
    <col min="3318" max="3318" width="12.08984375" style="87" customWidth="1"/>
    <col min="3319" max="3333" width="12.90625" style="87" customWidth="1"/>
    <col min="3334" max="3334" width="13.36328125" style="87" customWidth="1"/>
    <col min="3335" max="3335" width="11.08984375" style="87" customWidth="1"/>
    <col min="3336" max="3566" width="8.90625" style="87"/>
    <col min="3567" max="3567" width="6.6328125" style="87" customWidth="1"/>
    <col min="3568" max="3568" width="53.90625" style="87" customWidth="1"/>
    <col min="3569" max="3569" width="16" style="87" customWidth="1"/>
    <col min="3570" max="3570" width="11.90625" style="87" customWidth="1"/>
    <col min="3571" max="3571" width="12.08984375" style="87" customWidth="1"/>
    <col min="3572" max="3573" width="11.08984375" style="87" customWidth="1"/>
    <col min="3574" max="3574" width="12.08984375" style="87" customWidth="1"/>
    <col min="3575" max="3589" width="12.90625" style="87" customWidth="1"/>
    <col min="3590" max="3590" width="13.36328125" style="87" customWidth="1"/>
    <col min="3591" max="3591" width="11.08984375" style="87" customWidth="1"/>
    <col min="3592" max="3822" width="8.90625" style="87"/>
    <col min="3823" max="3823" width="6.6328125" style="87" customWidth="1"/>
    <col min="3824" max="3824" width="53.90625" style="87" customWidth="1"/>
    <col min="3825" max="3825" width="16" style="87" customWidth="1"/>
    <col min="3826" max="3826" width="11.90625" style="87" customWidth="1"/>
    <col min="3827" max="3827" width="12.08984375" style="87" customWidth="1"/>
    <col min="3828" max="3829" width="11.08984375" style="87" customWidth="1"/>
    <col min="3830" max="3830" width="12.08984375" style="87" customWidth="1"/>
    <col min="3831" max="3845" width="12.90625" style="87" customWidth="1"/>
    <col min="3846" max="3846" width="13.36328125" style="87" customWidth="1"/>
    <col min="3847" max="3847" width="11.08984375" style="87" customWidth="1"/>
    <col min="3848" max="4078" width="8.90625" style="87"/>
    <col min="4079" max="4079" width="6.6328125" style="87" customWidth="1"/>
    <col min="4080" max="4080" width="53.90625" style="87" customWidth="1"/>
    <col min="4081" max="4081" width="16" style="87" customWidth="1"/>
    <col min="4082" max="4082" width="11.90625" style="87" customWidth="1"/>
    <col min="4083" max="4083" width="12.08984375" style="87" customWidth="1"/>
    <col min="4084" max="4085" width="11.08984375" style="87" customWidth="1"/>
    <col min="4086" max="4086" width="12.08984375" style="87" customWidth="1"/>
    <col min="4087" max="4101" width="12.90625" style="87" customWidth="1"/>
    <col min="4102" max="4102" width="13.36328125" style="87" customWidth="1"/>
    <col min="4103" max="4103" width="11.08984375" style="87" customWidth="1"/>
    <col min="4104" max="4334" width="8.90625" style="87"/>
    <col min="4335" max="4335" width="6.6328125" style="87" customWidth="1"/>
    <col min="4336" max="4336" width="53.90625" style="87" customWidth="1"/>
    <col min="4337" max="4337" width="16" style="87" customWidth="1"/>
    <col min="4338" max="4338" width="11.90625" style="87" customWidth="1"/>
    <col min="4339" max="4339" width="12.08984375" style="87" customWidth="1"/>
    <col min="4340" max="4341" width="11.08984375" style="87" customWidth="1"/>
    <col min="4342" max="4342" width="12.08984375" style="87" customWidth="1"/>
    <col min="4343" max="4357" width="12.90625" style="87" customWidth="1"/>
    <col min="4358" max="4358" width="13.36328125" style="87" customWidth="1"/>
    <col min="4359" max="4359" width="11.08984375" style="87" customWidth="1"/>
    <col min="4360" max="4590" width="8.90625" style="87"/>
    <col min="4591" max="4591" width="6.6328125" style="87" customWidth="1"/>
    <col min="4592" max="4592" width="53.90625" style="87" customWidth="1"/>
    <col min="4593" max="4593" width="16" style="87" customWidth="1"/>
    <col min="4594" max="4594" width="11.90625" style="87" customWidth="1"/>
    <col min="4595" max="4595" width="12.08984375" style="87" customWidth="1"/>
    <col min="4596" max="4597" width="11.08984375" style="87" customWidth="1"/>
    <col min="4598" max="4598" width="12.08984375" style="87" customWidth="1"/>
    <col min="4599" max="4613" width="12.90625" style="87" customWidth="1"/>
    <col min="4614" max="4614" width="13.36328125" style="87" customWidth="1"/>
    <col min="4615" max="4615" width="11.08984375" style="87" customWidth="1"/>
    <col min="4616" max="4846" width="8.90625" style="87"/>
    <col min="4847" max="4847" width="6.6328125" style="87" customWidth="1"/>
    <col min="4848" max="4848" width="53.90625" style="87" customWidth="1"/>
    <col min="4849" max="4849" width="16" style="87" customWidth="1"/>
    <col min="4850" max="4850" width="11.90625" style="87" customWidth="1"/>
    <col min="4851" max="4851" width="12.08984375" style="87" customWidth="1"/>
    <col min="4852" max="4853" width="11.08984375" style="87" customWidth="1"/>
    <col min="4854" max="4854" width="12.08984375" style="87" customWidth="1"/>
    <col min="4855" max="4869" width="12.90625" style="87" customWidth="1"/>
    <col min="4870" max="4870" width="13.36328125" style="87" customWidth="1"/>
    <col min="4871" max="4871" width="11.08984375" style="87" customWidth="1"/>
    <col min="4872" max="5102" width="8.90625" style="87"/>
    <col min="5103" max="5103" width="6.6328125" style="87" customWidth="1"/>
    <col min="5104" max="5104" width="53.90625" style="87" customWidth="1"/>
    <col min="5105" max="5105" width="16" style="87" customWidth="1"/>
    <col min="5106" max="5106" width="11.90625" style="87" customWidth="1"/>
    <col min="5107" max="5107" width="12.08984375" style="87" customWidth="1"/>
    <col min="5108" max="5109" width="11.08984375" style="87" customWidth="1"/>
    <col min="5110" max="5110" width="12.08984375" style="87" customWidth="1"/>
    <col min="5111" max="5125" width="12.90625" style="87" customWidth="1"/>
    <col min="5126" max="5126" width="13.36328125" style="87" customWidth="1"/>
    <col min="5127" max="5127" width="11.08984375" style="87" customWidth="1"/>
    <col min="5128" max="5358" width="8.90625" style="87"/>
    <col min="5359" max="5359" width="6.6328125" style="87" customWidth="1"/>
    <col min="5360" max="5360" width="53.90625" style="87" customWidth="1"/>
    <col min="5361" max="5361" width="16" style="87" customWidth="1"/>
    <col min="5362" max="5362" width="11.90625" style="87" customWidth="1"/>
    <col min="5363" max="5363" width="12.08984375" style="87" customWidth="1"/>
    <col min="5364" max="5365" width="11.08984375" style="87" customWidth="1"/>
    <col min="5366" max="5366" width="12.08984375" style="87" customWidth="1"/>
    <col min="5367" max="5381" width="12.90625" style="87" customWidth="1"/>
    <col min="5382" max="5382" width="13.36328125" style="87" customWidth="1"/>
    <col min="5383" max="5383" width="11.08984375" style="87" customWidth="1"/>
    <col min="5384" max="5614" width="8.90625" style="87"/>
    <col min="5615" max="5615" width="6.6328125" style="87" customWidth="1"/>
    <col min="5616" max="5616" width="53.90625" style="87" customWidth="1"/>
    <col min="5617" max="5617" width="16" style="87" customWidth="1"/>
    <col min="5618" max="5618" width="11.90625" style="87" customWidth="1"/>
    <col min="5619" max="5619" width="12.08984375" style="87" customWidth="1"/>
    <col min="5620" max="5621" width="11.08984375" style="87" customWidth="1"/>
    <col min="5622" max="5622" width="12.08984375" style="87" customWidth="1"/>
    <col min="5623" max="5637" width="12.90625" style="87" customWidth="1"/>
    <col min="5638" max="5638" width="13.36328125" style="87" customWidth="1"/>
    <col min="5639" max="5639" width="11.08984375" style="87" customWidth="1"/>
    <col min="5640" max="5870" width="8.90625" style="87"/>
    <col min="5871" max="5871" width="6.6328125" style="87" customWidth="1"/>
    <col min="5872" max="5872" width="53.90625" style="87" customWidth="1"/>
    <col min="5873" max="5873" width="16" style="87" customWidth="1"/>
    <col min="5874" max="5874" width="11.90625" style="87" customWidth="1"/>
    <col min="5875" max="5875" width="12.08984375" style="87" customWidth="1"/>
    <col min="5876" max="5877" width="11.08984375" style="87" customWidth="1"/>
    <col min="5878" max="5878" width="12.08984375" style="87" customWidth="1"/>
    <col min="5879" max="5893" width="12.90625" style="87" customWidth="1"/>
    <col min="5894" max="5894" width="13.36328125" style="87" customWidth="1"/>
    <col min="5895" max="5895" width="11.08984375" style="87" customWidth="1"/>
    <col min="5896" max="6126" width="8.90625" style="87"/>
    <col min="6127" max="6127" width="6.6328125" style="87" customWidth="1"/>
    <col min="6128" max="6128" width="53.90625" style="87" customWidth="1"/>
    <col min="6129" max="6129" width="16" style="87" customWidth="1"/>
    <col min="6130" max="6130" width="11.90625" style="87" customWidth="1"/>
    <col min="6131" max="6131" width="12.08984375" style="87" customWidth="1"/>
    <col min="6132" max="6133" width="11.08984375" style="87" customWidth="1"/>
    <col min="6134" max="6134" width="12.08984375" style="87" customWidth="1"/>
    <col min="6135" max="6149" width="12.90625" style="87" customWidth="1"/>
    <col min="6150" max="6150" width="13.36328125" style="87" customWidth="1"/>
    <col min="6151" max="6151" width="11.08984375" style="87" customWidth="1"/>
    <col min="6152" max="6382" width="8.90625" style="87"/>
    <col min="6383" max="6383" width="6.6328125" style="87" customWidth="1"/>
    <col min="6384" max="6384" width="53.90625" style="87" customWidth="1"/>
    <col min="6385" max="6385" width="16" style="87" customWidth="1"/>
    <col min="6386" max="6386" width="11.90625" style="87" customWidth="1"/>
    <col min="6387" max="6387" width="12.08984375" style="87" customWidth="1"/>
    <col min="6388" max="6389" width="11.08984375" style="87" customWidth="1"/>
    <col min="6390" max="6390" width="12.08984375" style="87" customWidth="1"/>
    <col min="6391" max="6405" width="12.90625" style="87" customWidth="1"/>
    <col min="6406" max="6406" width="13.36328125" style="87" customWidth="1"/>
    <col min="6407" max="6407" width="11.08984375" style="87" customWidth="1"/>
    <col min="6408" max="6638" width="8.90625" style="87"/>
    <col min="6639" max="6639" width="6.6328125" style="87" customWidth="1"/>
    <col min="6640" max="6640" width="53.90625" style="87" customWidth="1"/>
    <col min="6641" max="6641" width="16" style="87" customWidth="1"/>
    <col min="6642" max="6642" width="11.90625" style="87" customWidth="1"/>
    <col min="6643" max="6643" width="12.08984375" style="87" customWidth="1"/>
    <col min="6644" max="6645" width="11.08984375" style="87" customWidth="1"/>
    <col min="6646" max="6646" width="12.08984375" style="87" customWidth="1"/>
    <col min="6647" max="6661" width="12.90625" style="87" customWidth="1"/>
    <col min="6662" max="6662" width="13.36328125" style="87" customWidth="1"/>
    <col min="6663" max="6663" width="11.08984375" style="87" customWidth="1"/>
    <col min="6664" max="6894" width="8.90625" style="87"/>
    <col min="6895" max="6895" width="6.6328125" style="87" customWidth="1"/>
    <col min="6896" max="6896" width="53.90625" style="87" customWidth="1"/>
    <col min="6897" max="6897" width="16" style="87" customWidth="1"/>
    <col min="6898" max="6898" width="11.90625" style="87" customWidth="1"/>
    <col min="6899" max="6899" width="12.08984375" style="87" customWidth="1"/>
    <col min="6900" max="6901" width="11.08984375" style="87" customWidth="1"/>
    <col min="6902" max="6902" width="12.08984375" style="87" customWidth="1"/>
    <col min="6903" max="6917" width="12.90625" style="87" customWidth="1"/>
    <col min="6918" max="6918" width="13.36328125" style="87" customWidth="1"/>
    <col min="6919" max="6919" width="11.08984375" style="87" customWidth="1"/>
    <col min="6920" max="7150" width="8.90625" style="87"/>
    <col min="7151" max="7151" width="6.6328125" style="87" customWidth="1"/>
    <col min="7152" max="7152" width="53.90625" style="87" customWidth="1"/>
    <col min="7153" max="7153" width="16" style="87" customWidth="1"/>
    <col min="7154" max="7154" width="11.90625" style="87" customWidth="1"/>
    <col min="7155" max="7155" width="12.08984375" style="87" customWidth="1"/>
    <col min="7156" max="7157" width="11.08984375" style="87" customWidth="1"/>
    <col min="7158" max="7158" width="12.08984375" style="87" customWidth="1"/>
    <col min="7159" max="7173" width="12.90625" style="87" customWidth="1"/>
    <col min="7174" max="7174" width="13.36328125" style="87" customWidth="1"/>
    <col min="7175" max="7175" width="11.08984375" style="87" customWidth="1"/>
    <col min="7176" max="7406" width="8.90625" style="87"/>
    <col min="7407" max="7407" width="6.6328125" style="87" customWidth="1"/>
    <col min="7408" max="7408" width="53.90625" style="87" customWidth="1"/>
    <col min="7409" max="7409" width="16" style="87" customWidth="1"/>
    <col min="7410" max="7410" width="11.90625" style="87" customWidth="1"/>
    <col min="7411" max="7411" width="12.08984375" style="87" customWidth="1"/>
    <col min="7412" max="7413" width="11.08984375" style="87" customWidth="1"/>
    <col min="7414" max="7414" width="12.08984375" style="87" customWidth="1"/>
    <col min="7415" max="7429" width="12.90625" style="87" customWidth="1"/>
    <col min="7430" max="7430" width="13.36328125" style="87" customWidth="1"/>
    <col min="7431" max="7431" width="11.08984375" style="87" customWidth="1"/>
    <col min="7432" max="7662" width="8.90625" style="87"/>
    <col min="7663" max="7663" width="6.6328125" style="87" customWidth="1"/>
    <col min="7664" max="7664" width="53.90625" style="87" customWidth="1"/>
    <col min="7665" max="7665" width="16" style="87" customWidth="1"/>
    <col min="7666" max="7666" width="11.90625" style="87" customWidth="1"/>
    <col min="7667" max="7667" width="12.08984375" style="87" customWidth="1"/>
    <col min="7668" max="7669" width="11.08984375" style="87" customWidth="1"/>
    <col min="7670" max="7670" width="12.08984375" style="87" customWidth="1"/>
    <col min="7671" max="7685" width="12.90625" style="87" customWidth="1"/>
    <col min="7686" max="7686" width="13.36328125" style="87" customWidth="1"/>
    <col min="7687" max="7687" width="11.08984375" style="87" customWidth="1"/>
    <col min="7688" max="7918" width="8.90625" style="87"/>
    <col min="7919" max="7919" width="6.6328125" style="87" customWidth="1"/>
    <col min="7920" max="7920" width="53.90625" style="87" customWidth="1"/>
    <col min="7921" max="7921" width="16" style="87" customWidth="1"/>
    <col min="7922" max="7922" width="11.90625" style="87" customWidth="1"/>
    <col min="7923" max="7923" width="12.08984375" style="87" customWidth="1"/>
    <col min="7924" max="7925" width="11.08984375" style="87" customWidth="1"/>
    <col min="7926" max="7926" width="12.08984375" style="87" customWidth="1"/>
    <col min="7927" max="7941" width="12.90625" style="87" customWidth="1"/>
    <col min="7942" max="7942" width="13.36328125" style="87" customWidth="1"/>
    <col min="7943" max="7943" width="11.08984375" style="87" customWidth="1"/>
    <col min="7944" max="8174" width="8.90625" style="87"/>
    <col min="8175" max="8175" width="6.6328125" style="87" customWidth="1"/>
    <col min="8176" max="8176" width="53.90625" style="87" customWidth="1"/>
    <col min="8177" max="8177" width="16" style="87" customWidth="1"/>
    <col min="8178" max="8178" width="11.90625" style="87" customWidth="1"/>
    <col min="8179" max="8179" width="12.08984375" style="87" customWidth="1"/>
    <col min="8180" max="8181" width="11.08984375" style="87" customWidth="1"/>
    <col min="8182" max="8182" width="12.08984375" style="87" customWidth="1"/>
    <col min="8183" max="8197" width="12.90625" style="87" customWidth="1"/>
    <col min="8198" max="8198" width="13.36328125" style="87" customWidth="1"/>
    <col min="8199" max="8199" width="11.08984375" style="87" customWidth="1"/>
    <col min="8200" max="8430" width="8.90625" style="87"/>
    <col min="8431" max="8431" width="6.6328125" style="87" customWidth="1"/>
    <col min="8432" max="8432" width="53.90625" style="87" customWidth="1"/>
    <col min="8433" max="8433" width="16" style="87" customWidth="1"/>
    <col min="8434" max="8434" width="11.90625" style="87" customWidth="1"/>
    <col min="8435" max="8435" width="12.08984375" style="87" customWidth="1"/>
    <col min="8436" max="8437" width="11.08984375" style="87" customWidth="1"/>
    <col min="8438" max="8438" width="12.08984375" style="87" customWidth="1"/>
    <col min="8439" max="8453" width="12.90625" style="87" customWidth="1"/>
    <col min="8454" max="8454" width="13.36328125" style="87" customWidth="1"/>
    <col min="8455" max="8455" width="11.08984375" style="87" customWidth="1"/>
    <col min="8456" max="8686" width="8.90625" style="87"/>
    <col min="8687" max="8687" width="6.6328125" style="87" customWidth="1"/>
    <col min="8688" max="8688" width="53.90625" style="87" customWidth="1"/>
    <col min="8689" max="8689" width="16" style="87" customWidth="1"/>
    <col min="8690" max="8690" width="11.90625" style="87" customWidth="1"/>
    <col min="8691" max="8691" width="12.08984375" style="87" customWidth="1"/>
    <col min="8692" max="8693" width="11.08984375" style="87" customWidth="1"/>
    <col min="8694" max="8694" width="12.08984375" style="87" customWidth="1"/>
    <col min="8695" max="8709" width="12.90625" style="87" customWidth="1"/>
    <col min="8710" max="8710" width="13.36328125" style="87" customWidth="1"/>
    <col min="8711" max="8711" width="11.08984375" style="87" customWidth="1"/>
    <col min="8712" max="8942" width="8.90625" style="87"/>
    <col min="8943" max="8943" width="6.6328125" style="87" customWidth="1"/>
    <col min="8944" max="8944" width="53.90625" style="87" customWidth="1"/>
    <col min="8945" max="8945" width="16" style="87" customWidth="1"/>
    <col min="8946" max="8946" width="11.90625" style="87" customWidth="1"/>
    <col min="8947" max="8947" width="12.08984375" style="87" customWidth="1"/>
    <col min="8948" max="8949" width="11.08984375" style="87" customWidth="1"/>
    <col min="8950" max="8950" width="12.08984375" style="87" customWidth="1"/>
    <col min="8951" max="8965" width="12.90625" style="87" customWidth="1"/>
    <col min="8966" max="8966" width="13.36328125" style="87" customWidth="1"/>
    <col min="8967" max="8967" width="11.08984375" style="87" customWidth="1"/>
    <col min="8968" max="9198" width="8.90625" style="87"/>
    <col min="9199" max="9199" width="6.6328125" style="87" customWidth="1"/>
    <col min="9200" max="9200" width="53.90625" style="87" customWidth="1"/>
    <col min="9201" max="9201" width="16" style="87" customWidth="1"/>
    <col min="9202" max="9202" width="11.90625" style="87" customWidth="1"/>
    <col min="9203" max="9203" width="12.08984375" style="87" customWidth="1"/>
    <col min="9204" max="9205" width="11.08984375" style="87" customWidth="1"/>
    <col min="9206" max="9206" width="12.08984375" style="87" customWidth="1"/>
    <col min="9207" max="9221" width="12.90625" style="87" customWidth="1"/>
    <col min="9222" max="9222" width="13.36328125" style="87" customWidth="1"/>
    <col min="9223" max="9223" width="11.08984375" style="87" customWidth="1"/>
    <col min="9224" max="9454" width="8.90625" style="87"/>
    <col min="9455" max="9455" width="6.6328125" style="87" customWidth="1"/>
    <col min="9456" max="9456" width="53.90625" style="87" customWidth="1"/>
    <col min="9457" max="9457" width="16" style="87" customWidth="1"/>
    <col min="9458" max="9458" width="11.90625" style="87" customWidth="1"/>
    <col min="9459" max="9459" width="12.08984375" style="87" customWidth="1"/>
    <col min="9460" max="9461" width="11.08984375" style="87" customWidth="1"/>
    <col min="9462" max="9462" width="12.08984375" style="87" customWidth="1"/>
    <col min="9463" max="9477" width="12.90625" style="87" customWidth="1"/>
    <col min="9478" max="9478" width="13.36328125" style="87" customWidth="1"/>
    <col min="9479" max="9479" width="11.08984375" style="87" customWidth="1"/>
    <col min="9480" max="9710" width="8.90625" style="87"/>
    <col min="9711" max="9711" width="6.6328125" style="87" customWidth="1"/>
    <col min="9712" max="9712" width="53.90625" style="87" customWidth="1"/>
    <col min="9713" max="9713" width="16" style="87" customWidth="1"/>
    <col min="9714" max="9714" width="11.90625" style="87" customWidth="1"/>
    <col min="9715" max="9715" width="12.08984375" style="87" customWidth="1"/>
    <col min="9716" max="9717" width="11.08984375" style="87" customWidth="1"/>
    <col min="9718" max="9718" width="12.08984375" style="87" customWidth="1"/>
    <col min="9719" max="9733" width="12.90625" style="87" customWidth="1"/>
    <col min="9734" max="9734" width="13.36328125" style="87" customWidth="1"/>
    <col min="9735" max="9735" width="11.08984375" style="87" customWidth="1"/>
    <col min="9736" max="9966" width="8.90625" style="87"/>
    <col min="9967" max="9967" width="6.6328125" style="87" customWidth="1"/>
    <col min="9968" max="9968" width="53.90625" style="87" customWidth="1"/>
    <col min="9969" max="9969" width="16" style="87" customWidth="1"/>
    <col min="9970" max="9970" width="11.90625" style="87" customWidth="1"/>
    <col min="9971" max="9971" width="12.08984375" style="87" customWidth="1"/>
    <col min="9972" max="9973" width="11.08984375" style="87" customWidth="1"/>
    <col min="9974" max="9974" width="12.08984375" style="87" customWidth="1"/>
    <col min="9975" max="9989" width="12.90625" style="87" customWidth="1"/>
    <col min="9990" max="9990" width="13.36328125" style="87" customWidth="1"/>
    <col min="9991" max="9991" width="11.08984375" style="87" customWidth="1"/>
    <col min="9992" max="10222" width="8.90625" style="87"/>
    <col min="10223" max="10223" width="6.6328125" style="87" customWidth="1"/>
    <col min="10224" max="10224" width="53.90625" style="87" customWidth="1"/>
    <col min="10225" max="10225" width="16" style="87" customWidth="1"/>
    <col min="10226" max="10226" width="11.90625" style="87" customWidth="1"/>
    <col min="10227" max="10227" width="12.08984375" style="87" customWidth="1"/>
    <col min="10228" max="10229" width="11.08984375" style="87" customWidth="1"/>
    <col min="10230" max="10230" width="12.08984375" style="87" customWidth="1"/>
    <col min="10231" max="10245" width="12.90625" style="87" customWidth="1"/>
    <col min="10246" max="10246" width="13.36328125" style="87" customWidth="1"/>
    <col min="10247" max="10247" width="11.08984375" style="87" customWidth="1"/>
    <col min="10248" max="10478" width="8.90625" style="87"/>
    <col min="10479" max="10479" width="6.6328125" style="87" customWidth="1"/>
    <col min="10480" max="10480" width="53.90625" style="87" customWidth="1"/>
    <col min="10481" max="10481" width="16" style="87" customWidth="1"/>
    <col min="10482" max="10482" width="11.90625" style="87" customWidth="1"/>
    <col min="10483" max="10483" width="12.08984375" style="87" customWidth="1"/>
    <col min="10484" max="10485" width="11.08984375" style="87" customWidth="1"/>
    <col min="10486" max="10486" width="12.08984375" style="87" customWidth="1"/>
    <col min="10487" max="10501" width="12.90625" style="87" customWidth="1"/>
    <col min="10502" max="10502" width="13.36328125" style="87" customWidth="1"/>
    <col min="10503" max="10503" width="11.08984375" style="87" customWidth="1"/>
    <col min="10504" max="10734" width="8.90625" style="87"/>
    <col min="10735" max="10735" width="6.6328125" style="87" customWidth="1"/>
    <col min="10736" max="10736" width="53.90625" style="87" customWidth="1"/>
    <col min="10737" max="10737" width="16" style="87" customWidth="1"/>
    <col min="10738" max="10738" width="11.90625" style="87" customWidth="1"/>
    <col min="10739" max="10739" width="12.08984375" style="87" customWidth="1"/>
    <col min="10740" max="10741" width="11.08984375" style="87" customWidth="1"/>
    <col min="10742" max="10742" width="12.08984375" style="87" customWidth="1"/>
    <col min="10743" max="10757" width="12.90625" style="87" customWidth="1"/>
    <col min="10758" max="10758" width="13.36328125" style="87" customWidth="1"/>
    <col min="10759" max="10759" width="11.08984375" style="87" customWidth="1"/>
    <col min="10760" max="10990" width="8.90625" style="87"/>
    <col min="10991" max="10991" width="6.6328125" style="87" customWidth="1"/>
    <col min="10992" max="10992" width="53.90625" style="87" customWidth="1"/>
    <col min="10993" max="10993" width="16" style="87" customWidth="1"/>
    <col min="10994" max="10994" width="11.90625" style="87" customWidth="1"/>
    <col min="10995" max="10995" width="12.08984375" style="87" customWidth="1"/>
    <col min="10996" max="10997" width="11.08984375" style="87" customWidth="1"/>
    <col min="10998" max="10998" width="12.08984375" style="87" customWidth="1"/>
    <col min="10999" max="11013" width="12.90625" style="87" customWidth="1"/>
    <col min="11014" max="11014" width="13.36328125" style="87" customWidth="1"/>
    <col min="11015" max="11015" width="11.08984375" style="87" customWidth="1"/>
    <col min="11016" max="11246" width="8.90625" style="87"/>
    <col min="11247" max="11247" width="6.6328125" style="87" customWidth="1"/>
    <col min="11248" max="11248" width="53.90625" style="87" customWidth="1"/>
    <col min="11249" max="11249" width="16" style="87" customWidth="1"/>
    <col min="11250" max="11250" width="11.90625" style="87" customWidth="1"/>
    <col min="11251" max="11251" width="12.08984375" style="87" customWidth="1"/>
    <col min="11252" max="11253" width="11.08984375" style="87" customWidth="1"/>
    <col min="11254" max="11254" width="12.08984375" style="87" customWidth="1"/>
    <col min="11255" max="11269" width="12.90625" style="87" customWidth="1"/>
    <col min="11270" max="11270" width="13.36328125" style="87" customWidth="1"/>
    <col min="11271" max="11271" width="11.08984375" style="87" customWidth="1"/>
    <col min="11272" max="11502" width="8.90625" style="87"/>
    <col min="11503" max="11503" width="6.6328125" style="87" customWidth="1"/>
    <col min="11504" max="11504" width="53.90625" style="87" customWidth="1"/>
    <col min="11505" max="11505" width="16" style="87" customWidth="1"/>
    <col min="11506" max="11506" width="11.90625" style="87" customWidth="1"/>
    <col min="11507" max="11507" width="12.08984375" style="87" customWidth="1"/>
    <col min="11508" max="11509" width="11.08984375" style="87" customWidth="1"/>
    <col min="11510" max="11510" width="12.08984375" style="87" customWidth="1"/>
    <col min="11511" max="11525" width="12.90625" style="87" customWidth="1"/>
    <col min="11526" max="11526" width="13.36328125" style="87" customWidth="1"/>
    <col min="11527" max="11527" width="11.08984375" style="87" customWidth="1"/>
    <col min="11528" max="11758" width="8.90625" style="87"/>
    <col min="11759" max="11759" width="6.6328125" style="87" customWidth="1"/>
    <col min="11760" max="11760" width="53.90625" style="87" customWidth="1"/>
    <col min="11761" max="11761" width="16" style="87" customWidth="1"/>
    <col min="11762" max="11762" width="11.90625" style="87" customWidth="1"/>
    <col min="11763" max="11763" width="12.08984375" style="87" customWidth="1"/>
    <col min="11764" max="11765" width="11.08984375" style="87" customWidth="1"/>
    <col min="11766" max="11766" width="12.08984375" style="87" customWidth="1"/>
    <col min="11767" max="11781" width="12.90625" style="87" customWidth="1"/>
    <col min="11782" max="11782" width="13.36328125" style="87" customWidth="1"/>
    <col min="11783" max="11783" width="11.08984375" style="87" customWidth="1"/>
    <col min="11784" max="12014" width="8.90625" style="87"/>
    <col min="12015" max="12015" width="6.6328125" style="87" customWidth="1"/>
    <col min="12016" max="12016" width="53.90625" style="87" customWidth="1"/>
    <col min="12017" max="12017" width="16" style="87" customWidth="1"/>
    <col min="12018" max="12018" width="11.90625" style="87" customWidth="1"/>
    <col min="12019" max="12019" width="12.08984375" style="87" customWidth="1"/>
    <col min="12020" max="12021" width="11.08984375" style="87" customWidth="1"/>
    <col min="12022" max="12022" width="12.08984375" style="87" customWidth="1"/>
    <col min="12023" max="12037" width="12.90625" style="87" customWidth="1"/>
    <col min="12038" max="12038" width="13.36328125" style="87" customWidth="1"/>
    <col min="12039" max="12039" width="11.08984375" style="87" customWidth="1"/>
    <col min="12040" max="12270" width="8.90625" style="87"/>
    <col min="12271" max="12271" width="6.6328125" style="87" customWidth="1"/>
    <col min="12272" max="12272" width="53.90625" style="87" customWidth="1"/>
    <col min="12273" max="12273" width="16" style="87" customWidth="1"/>
    <col min="12274" max="12274" width="11.90625" style="87" customWidth="1"/>
    <col min="12275" max="12275" width="12.08984375" style="87" customWidth="1"/>
    <col min="12276" max="12277" width="11.08984375" style="87" customWidth="1"/>
    <col min="12278" max="12278" width="12.08984375" style="87" customWidth="1"/>
    <col min="12279" max="12293" width="12.90625" style="87" customWidth="1"/>
    <col min="12294" max="12294" width="13.36328125" style="87" customWidth="1"/>
    <col min="12295" max="12295" width="11.08984375" style="87" customWidth="1"/>
    <col min="12296" max="12526" width="8.90625" style="87"/>
    <col min="12527" max="12527" width="6.6328125" style="87" customWidth="1"/>
    <col min="12528" max="12528" width="53.90625" style="87" customWidth="1"/>
    <col min="12529" max="12529" width="16" style="87" customWidth="1"/>
    <col min="12530" max="12530" width="11.90625" style="87" customWidth="1"/>
    <col min="12531" max="12531" width="12.08984375" style="87" customWidth="1"/>
    <col min="12532" max="12533" width="11.08984375" style="87" customWidth="1"/>
    <col min="12534" max="12534" width="12.08984375" style="87" customWidth="1"/>
    <col min="12535" max="12549" width="12.90625" style="87" customWidth="1"/>
    <col min="12550" max="12550" width="13.36328125" style="87" customWidth="1"/>
    <col min="12551" max="12551" width="11.08984375" style="87" customWidth="1"/>
    <col min="12552" max="12782" width="8.90625" style="87"/>
    <col min="12783" max="12783" width="6.6328125" style="87" customWidth="1"/>
    <col min="12784" max="12784" width="53.90625" style="87" customWidth="1"/>
    <col min="12785" max="12785" width="16" style="87" customWidth="1"/>
    <col min="12786" max="12786" width="11.90625" style="87" customWidth="1"/>
    <col min="12787" max="12787" width="12.08984375" style="87" customWidth="1"/>
    <col min="12788" max="12789" width="11.08984375" style="87" customWidth="1"/>
    <col min="12790" max="12790" width="12.08984375" style="87" customWidth="1"/>
    <col min="12791" max="12805" width="12.90625" style="87" customWidth="1"/>
    <col min="12806" max="12806" width="13.36328125" style="87" customWidth="1"/>
    <col min="12807" max="12807" width="11.08984375" style="87" customWidth="1"/>
    <col min="12808" max="13038" width="8.90625" style="87"/>
    <col min="13039" max="13039" width="6.6328125" style="87" customWidth="1"/>
    <col min="13040" max="13040" width="53.90625" style="87" customWidth="1"/>
    <col min="13041" max="13041" width="16" style="87" customWidth="1"/>
    <col min="13042" max="13042" width="11.90625" style="87" customWidth="1"/>
    <col min="13043" max="13043" width="12.08984375" style="87" customWidth="1"/>
    <col min="13044" max="13045" width="11.08984375" style="87" customWidth="1"/>
    <col min="13046" max="13046" width="12.08984375" style="87" customWidth="1"/>
    <col min="13047" max="13061" width="12.90625" style="87" customWidth="1"/>
    <col min="13062" max="13062" width="13.36328125" style="87" customWidth="1"/>
    <col min="13063" max="13063" width="11.08984375" style="87" customWidth="1"/>
    <col min="13064" max="13294" width="8.90625" style="87"/>
    <col min="13295" max="13295" width="6.6328125" style="87" customWidth="1"/>
    <col min="13296" max="13296" width="53.90625" style="87" customWidth="1"/>
    <col min="13297" max="13297" width="16" style="87" customWidth="1"/>
    <col min="13298" max="13298" width="11.90625" style="87" customWidth="1"/>
    <col min="13299" max="13299" width="12.08984375" style="87" customWidth="1"/>
    <col min="13300" max="13301" width="11.08984375" style="87" customWidth="1"/>
    <col min="13302" max="13302" width="12.08984375" style="87" customWidth="1"/>
    <col min="13303" max="13317" width="12.90625" style="87" customWidth="1"/>
    <col min="13318" max="13318" width="13.36328125" style="87" customWidth="1"/>
    <col min="13319" max="13319" width="11.08984375" style="87" customWidth="1"/>
    <col min="13320" max="13550" width="8.90625" style="87"/>
    <col min="13551" max="13551" width="6.6328125" style="87" customWidth="1"/>
    <col min="13552" max="13552" width="53.90625" style="87" customWidth="1"/>
    <col min="13553" max="13553" width="16" style="87" customWidth="1"/>
    <col min="13554" max="13554" width="11.90625" style="87" customWidth="1"/>
    <col min="13555" max="13555" width="12.08984375" style="87" customWidth="1"/>
    <col min="13556" max="13557" width="11.08984375" style="87" customWidth="1"/>
    <col min="13558" max="13558" width="12.08984375" style="87" customWidth="1"/>
    <col min="13559" max="13573" width="12.90625" style="87" customWidth="1"/>
    <col min="13574" max="13574" width="13.36328125" style="87" customWidth="1"/>
    <col min="13575" max="13575" width="11.08984375" style="87" customWidth="1"/>
    <col min="13576" max="13806" width="8.90625" style="87"/>
    <col min="13807" max="13807" width="6.6328125" style="87" customWidth="1"/>
    <col min="13808" max="13808" width="53.90625" style="87" customWidth="1"/>
    <col min="13809" max="13809" width="16" style="87" customWidth="1"/>
    <col min="13810" max="13810" width="11.90625" style="87" customWidth="1"/>
    <col min="13811" max="13811" width="12.08984375" style="87" customWidth="1"/>
    <col min="13812" max="13813" width="11.08984375" style="87" customWidth="1"/>
    <col min="13814" max="13814" width="12.08984375" style="87" customWidth="1"/>
    <col min="13815" max="13829" width="12.90625" style="87" customWidth="1"/>
    <col min="13830" max="13830" width="13.36328125" style="87" customWidth="1"/>
    <col min="13831" max="13831" width="11.08984375" style="87" customWidth="1"/>
    <col min="13832" max="14062" width="8.90625" style="87"/>
    <col min="14063" max="14063" width="6.6328125" style="87" customWidth="1"/>
    <col min="14064" max="14064" width="53.90625" style="87" customWidth="1"/>
    <col min="14065" max="14065" width="16" style="87" customWidth="1"/>
    <col min="14066" max="14066" width="11.90625" style="87" customWidth="1"/>
    <col min="14067" max="14067" width="12.08984375" style="87" customWidth="1"/>
    <col min="14068" max="14069" width="11.08984375" style="87" customWidth="1"/>
    <col min="14070" max="14070" width="12.08984375" style="87" customWidth="1"/>
    <col min="14071" max="14085" width="12.90625" style="87" customWidth="1"/>
    <col min="14086" max="14086" width="13.36328125" style="87" customWidth="1"/>
    <col min="14087" max="14087" width="11.08984375" style="87" customWidth="1"/>
    <col min="14088" max="14318" width="8.90625" style="87"/>
    <col min="14319" max="14319" width="6.6328125" style="87" customWidth="1"/>
    <col min="14320" max="14320" width="53.90625" style="87" customWidth="1"/>
    <col min="14321" max="14321" width="16" style="87" customWidth="1"/>
    <col min="14322" max="14322" width="11.90625" style="87" customWidth="1"/>
    <col min="14323" max="14323" width="12.08984375" style="87" customWidth="1"/>
    <col min="14324" max="14325" width="11.08984375" style="87" customWidth="1"/>
    <col min="14326" max="14326" width="12.08984375" style="87" customWidth="1"/>
    <col min="14327" max="14341" width="12.90625" style="87" customWidth="1"/>
    <col min="14342" max="14342" width="13.36328125" style="87" customWidth="1"/>
    <col min="14343" max="14343" width="11.08984375" style="87" customWidth="1"/>
    <col min="14344" max="14574" width="8.90625" style="87"/>
    <col min="14575" max="14575" width="6.6328125" style="87" customWidth="1"/>
    <col min="14576" max="14576" width="53.90625" style="87" customWidth="1"/>
    <col min="14577" max="14577" width="16" style="87" customWidth="1"/>
    <col min="14578" max="14578" width="11.90625" style="87" customWidth="1"/>
    <col min="14579" max="14579" width="12.08984375" style="87" customWidth="1"/>
    <col min="14580" max="14581" width="11.08984375" style="87" customWidth="1"/>
    <col min="14582" max="14582" width="12.08984375" style="87" customWidth="1"/>
    <col min="14583" max="14597" width="12.90625" style="87" customWidth="1"/>
    <col min="14598" max="14598" width="13.36328125" style="87" customWidth="1"/>
    <col min="14599" max="14599" width="11.08984375" style="87" customWidth="1"/>
    <col min="14600" max="14830" width="8.90625" style="87"/>
    <col min="14831" max="14831" width="6.6328125" style="87" customWidth="1"/>
    <col min="14832" max="14832" width="53.90625" style="87" customWidth="1"/>
    <col min="14833" max="14833" width="16" style="87" customWidth="1"/>
    <col min="14834" max="14834" width="11.90625" style="87" customWidth="1"/>
    <col min="14835" max="14835" width="12.08984375" style="87" customWidth="1"/>
    <col min="14836" max="14837" width="11.08984375" style="87" customWidth="1"/>
    <col min="14838" max="14838" width="12.08984375" style="87" customWidth="1"/>
    <col min="14839" max="14853" width="12.90625" style="87" customWidth="1"/>
    <col min="14854" max="14854" width="13.36328125" style="87" customWidth="1"/>
    <col min="14855" max="14855" width="11.08984375" style="87" customWidth="1"/>
    <col min="14856" max="15086" width="8.90625" style="87"/>
    <col min="15087" max="15087" width="6.6328125" style="87" customWidth="1"/>
    <col min="15088" max="15088" width="53.90625" style="87" customWidth="1"/>
    <col min="15089" max="15089" width="16" style="87" customWidth="1"/>
    <col min="15090" max="15090" width="11.90625" style="87" customWidth="1"/>
    <col min="15091" max="15091" width="12.08984375" style="87" customWidth="1"/>
    <col min="15092" max="15093" width="11.08984375" style="87" customWidth="1"/>
    <col min="15094" max="15094" width="12.08984375" style="87" customWidth="1"/>
    <col min="15095" max="15109" width="12.90625" style="87" customWidth="1"/>
    <col min="15110" max="15110" width="13.36328125" style="87" customWidth="1"/>
    <col min="15111" max="15111" width="11.08984375" style="87" customWidth="1"/>
    <col min="15112" max="15342" width="8.90625" style="87"/>
    <col min="15343" max="15343" width="6.6328125" style="87" customWidth="1"/>
    <col min="15344" max="15344" width="53.90625" style="87" customWidth="1"/>
    <col min="15345" max="15345" width="16" style="87" customWidth="1"/>
    <col min="15346" max="15346" width="11.90625" style="87" customWidth="1"/>
    <col min="15347" max="15347" width="12.08984375" style="87" customWidth="1"/>
    <col min="15348" max="15349" width="11.08984375" style="87" customWidth="1"/>
    <col min="15350" max="15350" width="12.08984375" style="87" customWidth="1"/>
    <col min="15351" max="15365" width="12.90625" style="87" customWidth="1"/>
    <col min="15366" max="15366" width="13.36328125" style="87" customWidth="1"/>
    <col min="15367" max="15367" width="11.08984375" style="87" customWidth="1"/>
    <col min="15368" max="15598" width="8.90625" style="87"/>
    <col min="15599" max="15599" width="6.6328125" style="87" customWidth="1"/>
    <col min="15600" max="15600" width="53.90625" style="87" customWidth="1"/>
    <col min="15601" max="15601" width="16" style="87" customWidth="1"/>
    <col min="15602" max="15602" width="11.90625" style="87" customWidth="1"/>
    <col min="15603" max="15603" width="12.08984375" style="87" customWidth="1"/>
    <col min="15604" max="15605" width="11.08984375" style="87" customWidth="1"/>
    <col min="15606" max="15606" width="12.08984375" style="87" customWidth="1"/>
    <col min="15607" max="15621" width="12.90625" style="87" customWidth="1"/>
    <col min="15622" max="15622" width="13.36328125" style="87" customWidth="1"/>
    <col min="15623" max="15623" width="11.08984375" style="87" customWidth="1"/>
    <col min="15624" max="15854" width="8.90625" style="87"/>
    <col min="15855" max="15855" width="6.6328125" style="87" customWidth="1"/>
    <col min="15856" max="15856" width="53.90625" style="87" customWidth="1"/>
    <col min="15857" max="15857" width="16" style="87" customWidth="1"/>
    <col min="15858" max="15858" width="11.90625" style="87" customWidth="1"/>
    <col min="15859" max="15859" width="12.08984375" style="87" customWidth="1"/>
    <col min="15860" max="15861" width="11.08984375" style="87" customWidth="1"/>
    <col min="15862" max="15862" width="12.08984375" style="87" customWidth="1"/>
    <col min="15863" max="15877" width="12.90625" style="87" customWidth="1"/>
    <col min="15878" max="15878" width="13.36328125" style="87" customWidth="1"/>
    <col min="15879" max="15879" width="11.08984375" style="87" customWidth="1"/>
    <col min="15880" max="16110" width="8.90625" style="87"/>
    <col min="16111" max="16111" width="6.6328125" style="87" customWidth="1"/>
    <col min="16112" max="16112" width="53.90625" style="87" customWidth="1"/>
    <col min="16113" max="16113" width="16" style="87" customWidth="1"/>
    <col min="16114" max="16114" width="11.90625" style="87" customWidth="1"/>
    <col min="16115" max="16115" width="12.08984375" style="87" customWidth="1"/>
    <col min="16116" max="16117" width="11.08984375" style="87" customWidth="1"/>
    <col min="16118" max="16118" width="12.08984375" style="87" customWidth="1"/>
    <col min="16119" max="16133" width="12.90625" style="87" customWidth="1"/>
    <col min="16134" max="16134" width="13.36328125" style="87" customWidth="1"/>
    <col min="16135" max="16135" width="11.08984375" style="87" customWidth="1"/>
    <col min="16136" max="16384" width="8.90625" style="87"/>
  </cols>
  <sheetData>
    <row r="1" spans="1:26" s="86" customFormat="1" ht="28.5" customHeight="1">
      <c r="A1" s="630" t="s">
        <v>729</v>
      </c>
      <c r="B1" s="631"/>
      <c r="C1" s="631"/>
      <c r="D1" s="631"/>
      <c r="E1" s="631"/>
      <c r="F1" s="631"/>
      <c r="G1" s="631"/>
      <c r="H1" s="631"/>
      <c r="I1" s="631"/>
      <c r="J1" s="631"/>
      <c r="K1" s="631"/>
      <c r="L1" s="631"/>
      <c r="M1" s="631"/>
      <c r="N1" s="631"/>
      <c r="O1" s="631"/>
      <c r="P1" s="631"/>
      <c r="Q1" s="631"/>
      <c r="R1" s="631"/>
      <c r="S1" s="631"/>
      <c r="T1" s="631"/>
      <c r="U1" s="375"/>
    </row>
    <row r="2" spans="1:26">
      <c r="A2" s="647" t="s">
        <v>240</v>
      </c>
      <c r="B2" s="648" t="s">
        <v>241</v>
      </c>
      <c r="C2" s="324" t="s">
        <v>242</v>
      </c>
      <c r="D2" s="324" t="s">
        <v>243</v>
      </c>
      <c r="E2" s="324" t="s">
        <v>244</v>
      </c>
      <c r="F2" s="324" t="s">
        <v>245</v>
      </c>
      <c r="G2" s="649" t="s">
        <v>477</v>
      </c>
      <c r="H2" s="649" t="s">
        <v>478</v>
      </c>
      <c r="I2" s="649" t="s">
        <v>479</v>
      </c>
      <c r="J2" s="649" t="s">
        <v>480</v>
      </c>
      <c r="K2" s="649" t="s">
        <v>481</v>
      </c>
      <c r="L2" s="649" t="s">
        <v>482</v>
      </c>
      <c r="M2" s="649" t="s">
        <v>483</v>
      </c>
      <c r="N2" s="649" t="s">
        <v>484</v>
      </c>
      <c r="O2" s="649" t="s">
        <v>485</v>
      </c>
      <c r="P2" s="649" t="s">
        <v>486</v>
      </c>
      <c r="Q2" s="649" t="s">
        <v>487</v>
      </c>
      <c r="R2" s="649" t="s">
        <v>488</v>
      </c>
      <c r="S2" s="649" t="s">
        <v>489</v>
      </c>
      <c r="T2" s="649" t="s">
        <v>490</v>
      </c>
      <c r="U2" s="649" t="s">
        <v>491</v>
      </c>
      <c r="V2" s="649" t="s">
        <v>492</v>
      </c>
      <c r="W2" s="649" t="s">
        <v>493</v>
      </c>
      <c r="X2" s="649" t="s">
        <v>494</v>
      </c>
      <c r="Y2" s="649" t="s">
        <v>495</v>
      </c>
      <c r="Z2" s="649" t="s">
        <v>496</v>
      </c>
    </row>
    <row r="3" spans="1:26" s="679" customFormat="1">
      <c r="A3" s="650"/>
      <c r="B3" s="678" t="s">
        <v>245</v>
      </c>
      <c r="C3" s="678"/>
      <c r="D3" s="678"/>
      <c r="E3" s="678"/>
      <c r="F3" s="678">
        <f>SUM(G3:Z3)</f>
        <v>7697.2536000000046</v>
      </c>
      <c r="G3" s="678">
        <f>G4+G9</f>
        <v>0</v>
      </c>
      <c r="H3" s="678">
        <f t="shared" ref="H3:Z3" si="0">H4+H9</f>
        <v>100</v>
      </c>
      <c r="I3" s="678">
        <f t="shared" si="0"/>
        <v>100</v>
      </c>
      <c r="J3" s="678">
        <f t="shared" si="0"/>
        <v>1299.4507200000005</v>
      </c>
      <c r="K3" s="678">
        <f t="shared" si="0"/>
        <v>567.28028800000004</v>
      </c>
      <c r="L3" s="678">
        <f t="shared" si="0"/>
        <v>567.28028800000004</v>
      </c>
      <c r="M3" s="678">
        <f t="shared" si="0"/>
        <v>747.19789600000013</v>
      </c>
      <c r="N3" s="678">
        <f t="shared" si="0"/>
        <v>447.33521600000006</v>
      </c>
      <c r="O3" s="678">
        <f t="shared" si="0"/>
        <v>327.39014400000002</v>
      </c>
      <c r="P3" s="678">
        <f t="shared" si="0"/>
        <v>267.41760800000003</v>
      </c>
      <c r="Q3" s="678">
        <f>Q4+Q9</f>
        <v>207.44507200000001</v>
      </c>
      <c r="R3" s="678">
        <f t="shared" si="0"/>
        <v>207.44507200000001</v>
      </c>
      <c r="S3" s="678">
        <f t="shared" si="0"/>
        <v>207.44507200000001</v>
      </c>
      <c r="T3" s="678">
        <f t="shared" si="0"/>
        <v>207.44507200000001</v>
      </c>
      <c r="U3" s="678">
        <f t="shared" si="0"/>
        <v>207.44507200000001</v>
      </c>
      <c r="V3" s="678">
        <f t="shared" si="0"/>
        <v>207.44507200000001</v>
      </c>
      <c r="W3" s="678">
        <f t="shared" si="0"/>
        <v>207.44507200000001</v>
      </c>
      <c r="X3" s="678">
        <f t="shared" si="0"/>
        <v>207.44507200000001</v>
      </c>
      <c r="Y3" s="678">
        <f t="shared" si="0"/>
        <v>207.44507200000001</v>
      </c>
      <c r="Z3" s="678">
        <f t="shared" si="0"/>
        <v>1406.8957920000003</v>
      </c>
    </row>
    <row r="4" spans="1:26">
      <c r="A4" s="422">
        <v>1</v>
      </c>
      <c r="B4" s="422" t="s">
        <v>376</v>
      </c>
      <c r="C4" s="422"/>
      <c r="D4" s="422"/>
      <c r="E4" s="422"/>
      <c r="F4" s="422">
        <f>SUM(G4:Z4)</f>
        <v>5797.2536000000027</v>
      </c>
      <c r="G4" s="422">
        <f t="shared" ref="G4:O4" si="1">SUM(G5:G7)</f>
        <v>0</v>
      </c>
      <c r="H4" s="422">
        <f t="shared" si="1"/>
        <v>0</v>
      </c>
      <c r="I4" s="422">
        <f t="shared" si="1"/>
        <v>0</v>
      </c>
      <c r="J4" s="422">
        <f t="shared" si="1"/>
        <v>1199.4507200000005</v>
      </c>
      <c r="K4" s="422">
        <f t="shared" si="1"/>
        <v>467.28028800000004</v>
      </c>
      <c r="L4" s="422">
        <f t="shared" si="1"/>
        <v>467.28028800000004</v>
      </c>
      <c r="M4" s="422">
        <f t="shared" si="1"/>
        <v>647.19789600000013</v>
      </c>
      <c r="N4" s="422">
        <f t="shared" si="1"/>
        <v>347.33521600000006</v>
      </c>
      <c r="O4" s="422">
        <f t="shared" si="1"/>
        <v>227.39014400000002</v>
      </c>
      <c r="P4" s="422">
        <f>SUM(P5:P7)</f>
        <v>167.41760800000003</v>
      </c>
      <c r="Q4" s="422">
        <f>SUM(Q5:Q7)</f>
        <v>107.44507200000001</v>
      </c>
      <c r="R4" s="422">
        <f t="shared" ref="R4:Y4" si="2">SUM(R5:R7)</f>
        <v>107.44507200000001</v>
      </c>
      <c r="S4" s="422">
        <f t="shared" si="2"/>
        <v>107.44507200000001</v>
      </c>
      <c r="T4" s="422">
        <f t="shared" si="2"/>
        <v>107.44507200000001</v>
      </c>
      <c r="U4" s="422">
        <f t="shared" si="2"/>
        <v>107.44507200000001</v>
      </c>
      <c r="V4" s="422">
        <f t="shared" si="2"/>
        <v>107.44507200000001</v>
      </c>
      <c r="W4" s="422">
        <f t="shared" si="2"/>
        <v>107.44507200000001</v>
      </c>
      <c r="X4" s="422">
        <f t="shared" si="2"/>
        <v>107.44507200000001</v>
      </c>
      <c r="Y4" s="422">
        <f t="shared" si="2"/>
        <v>107.44507200000001</v>
      </c>
      <c r="Z4" s="422">
        <f>SUM(Z5:Z7)</f>
        <v>1306.8957920000003</v>
      </c>
    </row>
    <row r="5" spans="1:26">
      <c r="A5" s="422" t="s">
        <v>378</v>
      </c>
      <c r="B5" s="422" t="s">
        <v>698</v>
      </c>
      <c r="C5" s="422"/>
      <c r="D5" s="422"/>
      <c r="E5" s="422"/>
      <c r="F5" s="422">
        <f>SUM(G5:Z5)</f>
        <v>4058.0775199999998</v>
      </c>
      <c r="G5" s="422">
        <f>('3.1销售情况分析'!G79+'3.1销售情况分析'!G80+'3.1销售情况分析'!G81)*0.035</f>
        <v>0</v>
      </c>
      <c r="H5" s="422">
        <f>('3.1销售情况分析'!H79+'3.1销售情况分析'!H80+'3.1销售情况分析'!H81)*0.035</f>
        <v>0</v>
      </c>
      <c r="I5" s="422">
        <f>('3.1销售情况分析'!I79+'3.1销售情况分析'!I80+'3.1销售情况分析'!I81)*0.035</f>
        <v>0</v>
      </c>
      <c r="J5" s="422">
        <f>('3.1销售情况分析'!J79+'3.1销售情况分析'!J80+'3.1销售情况分析'!J81)*0.035</f>
        <v>839.61550400000033</v>
      </c>
      <c r="K5" s="422">
        <f>('3.1销售情况分析'!K79+'3.1销售情况分析'!K80+'3.1销售情况分析'!K81)*0.035</f>
        <v>327.09620160000003</v>
      </c>
      <c r="L5" s="422">
        <f>('3.1销售情况分析'!L79+'3.1销售情况分析'!L80+'3.1销售情况分析'!L81)*0.035</f>
        <v>327.09620160000003</v>
      </c>
      <c r="M5" s="422">
        <f>('3.1销售情况分析'!M79+'3.1销售情况分析'!M80+'3.1销售情况分析'!M81)*0.035</f>
        <v>453.03852720000009</v>
      </c>
      <c r="N5" s="422">
        <f>('3.1销售情况分析'!N79+'3.1销售情况分析'!N80+'3.1销售情况分析'!N81)*0.035</f>
        <v>243.13465120000004</v>
      </c>
      <c r="O5" s="422">
        <f>('3.1销售情况分析'!O79+'3.1销售情况分析'!O80+'3.1销售情况分析'!O81)*0.035</f>
        <v>159.17310080000001</v>
      </c>
      <c r="P5" s="422">
        <f>('3.1销售情况分析'!P79+'3.1销售情况分析'!P80+'3.1销售情况分析'!P81)*0.035</f>
        <v>117.19232560000002</v>
      </c>
      <c r="Q5" s="422">
        <f>('3.1销售情况分析'!Q79+'3.1销售情况分析'!Q80+'3.1销售情况分析'!Q81)*0.035</f>
        <v>75.211550400000007</v>
      </c>
      <c r="R5" s="422">
        <f>('3.1销售情况分析'!R79+'3.1销售情况分析'!R80+'3.1销售情况分析'!R81)*0.035</f>
        <v>75.211550400000007</v>
      </c>
      <c r="S5" s="422">
        <f>('3.1销售情况分析'!S79+'3.1销售情况分析'!S80+'3.1销售情况分析'!S81)*0.035</f>
        <v>75.211550400000007</v>
      </c>
      <c r="T5" s="422">
        <f>('3.1销售情况分析'!T79+'3.1销售情况分析'!T80+'3.1销售情况分析'!T81)*0.035</f>
        <v>75.211550400000007</v>
      </c>
      <c r="U5" s="422">
        <f>('3.1销售情况分析'!U79+'3.1销售情况分析'!U80+'3.1销售情况分析'!U81)*0.035</f>
        <v>75.211550400000007</v>
      </c>
      <c r="V5" s="422">
        <f>('3.1销售情况分析'!V79+'3.1销售情况分析'!V80+'3.1销售情况分析'!V81)*0.035</f>
        <v>75.211550400000007</v>
      </c>
      <c r="W5" s="422">
        <f>('3.1销售情况分析'!W79+'3.1销售情况分析'!W80+'3.1销售情况分析'!W81)*0.035</f>
        <v>75.211550400000007</v>
      </c>
      <c r="X5" s="422">
        <f>('3.1销售情况分析'!X79+'3.1销售情况分析'!X80+'3.1销售情况分析'!X81)*0.035</f>
        <v>75.211550400000007</v>
      </c>
      <c r="Y5" s="422">
        <f>('3.1销售情况分析'!Y79+'3.1销售情况分析'!Y80+'3.1销售情况分析'!Y81)*0.035</f>
        <v>75.211550400000007</v>
      </c>
      <c r="Z5" s="422">
        <f>('3.1销售情况分析'!Z79+'3.1销售情况分析'!Z80+'3.1销售情况分析'!Z81)*0.035</f>
        <v>914.82705440000018</v>
      </c>
    </row>
    <row r="6" spans="1:26">
      <c r="A6" s="422" t="s">
        <v>78</v>
      </c>
      <c r="B6" s="422" t="s">
        <v>699</v>
      </c>
      <c r="C6" s="422"/>
      <c r="D6" s="422"/>
      <c r="E6" s="422"/>
      <c r="F6" s="422">
        <f>SUM(G6:Z6)</f>
        <v>1739.1760799999995</v>
      </c>
      <c r="G6" s="422">
        <f>('3.1销售情况分析'!G79+'3.1销售情况分析'!G80+'3.1销售情况分析'!G81)*0.015</f>
        <v>0</v>
      </c>
      <c r="H6" s="422">
        <f>('3.1销售情况分析'!H79+'3.1销售情况分析'!H80+'3.1销售情况分析'!H81)*0.015</f>
        <v>0</v>
      </c>
      <c r="I6" s="422">
        <f>('3.1销售情况分析'!I79+'3.1销售情况分析'!I80+'3.1销售情况分析'!I81)*0.015</f>
        <v>0</v>
      </c>
      <c r="J6" s="422">
        <f>('3.1销售情况分析'!J79+'3.1销售情况分析'!J80+'3.1销售情况分析'!J81)*0.015</f>
        <v>359.83521600000012</v>
      </c>
      <c r="K6" s="422">
        <f>('3.1销售情况分析'!K79+'3.1销售情况分析'!K80+'3.1销售情况分析'!K81)*0.015</f>
        <v>140.18408640000001</v>
      </c>
      <c r="L6" s="422">
        <f>('3.1销售情况分析'!L79+'3.1销售情况分析'!L80+'3.1销售情况分析'!L81)*0.015</f>
        <v>140.18408640000001</v>
      </c>
      <c r="M6" s="422">
        <f>('3.1销售情况分析'!M79+'3.1销售情况分析'!M80+'3.1销售情况分析'!M81)*0.015</f>
        <v>194.15936880000001</v>
      </c>
      <c r="N6" s="422">
        <f>('3.1销售情况分析'!N79+'3.1销售情况分析'!N80+'3.1销售情况分析'!N81)*0.015</f>
        <v>104.20056480000001</v>
      </c>
      <c r="O6" s="422">
        <f>('3.1销售情况分析'!O79+'3.1销售情况分析'!O80+'3.1销售情况分析'!O81)*0.015</f>
        <v>68.217043200000006</v>
      </c>
      <c r="P6" s="422">
        <f>('3.1销售情况分析'!P79+'3.1销售情况分析'!P80+'3.1销售情况分析'!P81)*0.015</f>
        <v>50.225282400000005</v>
      </c>
      <c r="Q6" s="422">
        <f>('3.1销售情况分析'!Q79+'3.1销售情况分析'!Q80+'3.1销售情况分析'!Q81)*0.015</f>
        <v>32.233521600000003</v>
      </c>
      <c r="R6" s="422">
        <f>('3.1销售情况分析'!R79+'3.1销售情况分析'!R80+'3.1销售情况分析'!R81)*0.015</f>
        <v>32.233521600000003</v>
      </c>
      <c r="S6" s="422">
        <f>('3.1销售情况分析'!S79+'3.1销售情况分析'!S80+'3.1销售情况分析'!S81)*0.015</f>
        <v>32.233521600000003</v>
      </c>
      <c r="T6" s="422">
        <f>('3.1销售情况分析'!T79+'3.1销售情况分析'!T80+'3.1销售情况分析'!T81)*0.015</f>
        <v>32.233521600000003</v>
      </c>
      <c r="U6" s="422">
        <f>('3.1销售情况分析'!U79+'3.1销售情况分析'!U80+'3.1销售情况分析'!U81)*0.015</f>
        <v>32.233521600000003</v>
      </c>
      <c r="V6" s="422">
        <f>('3.1销售情况分析'!V79+'3.1销售情况分析'!V80+'3.1销售情况分析'!V81)*0.015</f>
        <v>32.233521600000003</v>
      </c>
      <c r="W6" s="422">
        <f>('3.1销售情况分析'!W79+'3.1销售情况分析'!W80+'3.1销售情况分析'!W81)*0.015</f>
        <v>32.233521600000003</v>
      </c>
      <c r="X6" s="422">
        <f>('3.1销售情况分析'!X79+'3.1销售情况分析'!X80+'3.1销售情况分析'!X81)*0.015</f>
        <v>32.233521600000003</v>
      </c>
      <c r="Y6" s="422">
        <f>('3.1销售情况分析'!Y79+'3.1销售情况分析'!Y80+'3.1销售情况分析'!Y81)*0.015</f>
        <v>32.233521600000003</v>
      </c>
      <c r="Z6" s="422">
        <f>('3.1销售情况分析'!Z79+'3.1销售情况分析'!Z80+'3.1销售情况分析'!Z81)*0.015</f>
        <v>392.06873760000002</v>
      </c>
    </row>
    <row r="7" spans="1:26">
      <c r="A7" s="422" t="s">
        <v>82</v>
      </c>
      <c r="B7" s="422" t="s">
        <v>377</v>
      </c>
      <c r="C7" s="422"/>
      <c r="D7" s="422"/>
      <c r="E7" s="422"/>
      <c r="F7" s="422"/>
      <c r="G7" s="422"/>
      <c r="H7" s="422"/>
      <c r="I7" s="422"/>
      <c r="J7" s="422"/>
      <c r="K7" s="422"/>
      <c r="L7" s="422"/>
      <c r="M7" s="422"/>
      <c r="N7" s="422"/>
      <c r="O7" s="422"/>
      <c r="P7" s="422"/>
      <c r="Q7" s="422"/>
      <c r="R7" s="422"/>
      <c r="S7" s="422"/>
      <c r="T7" s="422"/>
      <c r="U7" s="422"/>
      <c r="V7" s="422"/>
      <c r="W7" s="422"/>
      <c r="X7" s="422"/>
      <c r="Y7" s="422"/>
      <c r="Z7" s="422"/>
    </row>
    <row r="8" spans="1:26">
      <c r="A8" s="422"/>
      <c r="B8" s="422"/>
      <c r="C8" s="422"/>
      <c r="D8" s="422"/>
      <c r="E8" s="422"/>
      <c r="F8" s="422"/>
      <c r="G8" s="422"/>
      <c r="H8" s="422"/>
      <c r="I8" s="422"/>
      <c r="J8" s="422"/>
      <c r="K8" s="422"/>
      <c r="L8" s="422"/>
      <c r="M8" s="422"/>
      <c r="N8" s="422"/>
      <c r="O8" s="422"/>
      <c r="P8" s="422"/>
      <c r="Q8" s="422"/>
      <c r="R8" s="422"/>
      <c r="S8" s="422"/>
      <c r="T8" s="422"/>
      <c r="U8" s="422"/>
      <c r="V8" s="422"/>
      <c r="W8" s="422"/>
      <c r="X8" s="422"/>
      <c r="Y8" s="422"/>
      <c r="Z8" s="422"/>
    </row>
    <row r="9" spans="1:26">
      <c r="A9" s="422" t="s">
        <v>307</v>
      </c>
      <c r="B9" s="422" t="s">
        <v>309</v>
      </c>
      <c r="C9" s="422"/>
      <c r="D9" s="422"/>
      <c r="E9" s="422"/>
      <c r="F9" s="422">
        <f>SUM(G9:Z9)</f>
        <v>1900</v>
      </c>
      <c r="G9" s="422">
        <f>SUM(G10:G12)</f>
        <v>0</v>
      </c>
      <c r="H9" s="422">
        <f t="shared" ref="H9:Z9" si="3">SUM(H10:H12)</f>
        <v>100</v>
      </c>
      <c r="I9" s="422">
        <f t="shared" si="3"/>
        <v>100</v>
      </c>
      <c r="J9" s="422">
        <f t="shared" si="3"/>
        <v>100</v>
      </c>
      <c r="K9" s="422">
        <f t="shared" si="3"/>
        <v>100</v>
      </c>
      <c r="L9" s="422">
        <f t="shared" si="3"/>
        <v>100</v>
      </c>
      <c r="M9" s="422">
        <f t="shared" si="3"/>
        <v>100</v>
      </c>
      <c r="N9" s="422">
        <f t="shared" si="3"/>
        <v>100</v>
      </c>
      <c r="O9" s="422">
        <f t="shared" si="3"/>
        <v>100</v>
      </c>
      <c r="P9" s="422">
        <f t="shared" si="3"/>
        <v>100</v>
      </c>
      <c r="Q9" s="422">
        <f t="shared" si="3"/>
        <v>100</v>
      </c>
      <c r="R9" s="422">
        <f t="shared" si="3"/>
        <v>100</v>
      </c>
      <c r="S9" s="422">
        <f t="shared" si="3"/>
        <v>100</v>
      </c>
      <c r="T9" s="422">
        <f t="shared" si="3"/>
        <v>100</v>
      </c>
      <c r="U9" s="422">
        <f t="shared" si="3"/>
        <v>100</v>
      </c>
      <c r="V9" s="422">
        <f t="shared" si="3"/>
        <v>100</v>
      </c>
      <c r="W9" s="422">
        <f t="shared" si="3"/>
        <v>100</v>
      </c>
      <c r="X9" s="422">
        <f t="shared" si="3"/>
        <v>100</v>
      </c>
      <c r="Y9" s="422">
        <f t="shared" si="3"/>
        <v>100</v>
      </c>
      <c r="Z9" s="422">
        <f t="shared" si="3"/>
        <v>100</v>
      </c>
    </row>
    <row r="10" spans="1:26">
      <c r="A10" s="422" t="s">
        <v>374</v>
      </c>
      <c r="B10" s="422" t="s">
        <v>246</v>
      </c>
      <c r="C10" s="422"/>
      <c r="D10" s="422"/>
      <c r="E10" s="422"/>
      <c r="F10" s="422">
        <f>SUM(G10:Z10)</f>
        <v>1900</v>
      </c>
      <c r="G10" s="422"/>
      <c r="H10" s="422">
        <v>100</v>
      </c>
      <c r="I10" s="422">
        <v>100</v>
      </c>
      <c r="J10" s="422">
        <v>100</v>
      </c>
      <c r="K10" s="422">
        <v>100</v>
      </c>
      <c r="L10" s="422">
        <v>100</v>
      </c>
      <c r="M10" s="422">
        <v>100</v>
      </c>
      <c r="N10" s="422">
        <v>100</v>
      </c>
      <c r="O10" s="422">
        <v>100</v>
      </c>
      <c r="P10" s="422">
        <v>100</v>
      </c>
      <c r="Q10" s="422">
        <v>100</v>
      </c>
      <c r="R10" s="422">
        <v>100</v>
      </c>
      <c r="S10" s="422">
        <v>100</v>
      </c>
      <c r="T10" s="422">
        <v>100</v>
      </c>
      <c r="U10" s="422">
        <v>100</v>
      </c>
      <c r="V10" s="422">
        <v>100</v>
      </c>
      <c r="W10" s="422">
        <v>100</v>
      </c>
      <c r="X10" s="422">
        <v>100</v>
      </c>
      <c r="Y10" s="422">
        <v>100</v>
      </c>
      <c r="Z10" s="422">
        <v>100</v>
      </c>
    </row>
    <row r="11" spans="1:26">
      <c r="A11" s="422" t="s">
        <v>375</v>
      </c>
      <c r="B11" s="422" t="s">
        <v>700</v>
      </c>
      <c r="C11" s="422"/>
      <c r="D11" s="422"/>
      <c r="E11" s="422"/>
      <c r="F11" s="422">
        <f>SUM(G11:Z11)</f>
        <v>0</v>
      </c>
      <c r="G11" s="422"/>
      <c r="H11" s="422"/>
      <c r="I11" s="422"/>
      <c r="J11" s="422"/>
      <c r="K11" s="422"/>
      <c r="L11" s="422"/>
      <c r="M11" s="422"/>
      <c r="N11" s="422"/>
      <c r="O11" s="422"/>
      <c r="P11" s="422"/>
      <c r="Q11" s="422"/>
      <c r="R11" s="422"/>
      <c r="S11" s="422"/>
      <c r="T11" s="422"/>
      <c r="U11" s="422"/>
      <c r="V11" s="422"/>
      <c r="W11" s="422"/>
      <c r="X11" s="422"/>
      <c r="Y11" s="422"/>
      <c r="Z11" s="422"/>
    </row>
    <row r="12" spans="1:26">
      <c r="A12" s="422">
        <v>2.2999999999999998</v>
      </c>
      <c r="B12" s="422"/>
      <c r="C12" s="422"/>
      <c r="D12" s="422"/>
      <c r="E12" s="422"/>
      <c r="F12" s="422"/>
      <c r="G12" s="422"/>
      <c r="H12" s="422"/>
      <c r="I12" s="422"/>
      <c r="J12" s="422"/>
      <c r="K12" s="422"/>
      <c r="L12" s="422"/>
      <c r="M12" s="422"/>
      <c r="N12" s="422"/>
      <c r="O12" s="422"/>
      <c r="P12" s="422"/>
      <c r="Q12" s="422"/>
      <c r="R12" s="422"/>
      <c r="S12" s="422"/>
      <c r="T12" s="422"/>
      <c r="U12" s="422"/>
      <c r="V12" s="422"/>
      <c r="W12" s="422"/>
      <c r="X12" s="422"/>
      <c r="Y12" s="422"/>
      <c r="Z12" s="422"/>
    </row>
    <row r="14" spans="1:26" hidden="1">
      <c r="B14" s="322" t="s">
        <v>371</v>
      </c>
      <c r="C14" s="319" t="s">
        <v>372</v>
      </c>
      <c r="D14" s="319" t="s">
        <v>368</v>
      </c>
      <c r="E14" s="323" t="s">
        <v>87</v>
      </c>
    </row>
    <row r="15" spans="1:26" hidden="1">
      <c r="B15" s="254" t="s">
        <v>523</v>
      </c>
      <c r="C15" s="320">
        <f>'0基本假设 '!L76</f>
        <v>0</v>
      </c>
      <c r="D15" s="321">
        <v>0.03</v>
      </c>
      <c r="E15" s="559">
        <v>0.02</v>
      </c>
    </row>
    <row r="16" spans="1:26" hidden="1">
      <c r="B16" s="254" t="s">
        <v>369</v>
      </c>
      <c r="C16" s="320">
        <f>'0基本假设 '!L77</f>
        <v>0</v>
      </c>
      <c r="D16" s="321">
        <v>0.03</v>
      </c>
      <c r="E16" s="559">
        <v>0.02</v>
      </c>
    </row>
    <row r="17" spans="1:5" hidden="1">
      <c r="B17" s="254" t="s">
        <v>370</v>
      </c>
      <c r="C17" s="320">
        <f>'0基本假设 '!L78</f>
        <v>0</v>
      </c>
      <c r="D17" s="321">
        <v>0.02</v>
      </c>
      <c r="E17" s="323" t="s">
        <v>373</v>
      </c>
    </row>
    <row r="19" spans="1:5" ht="15">
      <c r="A19" s="469" t="s">
        <v>554</v>
      </c>
      <c r="B19" s="470"/>
      <c r="C19"/>
    </row>
  </sheetData>
  <phoneticPr fontId="27" type="noConversion"/>
  <hyperlinks>
    <hyperlink ref="A19" location="目录!A1" display="点击返回目录"/>
  </hyperlinks>
  <pageMargins left="0.75" right="0.75" top="1" bottom="1" header="0.5" footer="0.5"/>
  <pageSetup paperSize="9" scale="31"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G25"/>
  <sheetViews>
    <sheetView zoomScale="80" zoomScaleNormal="80" zoomScaleSheetLayoutView="80" workbookViewId="0">
      <selection activeCell="H7" sqref="H7"/>
    </sheetView>
  </sheetViews>
  <sheetFormatPr defaultColWidth="9" defaultRowHeight="18" customHeight="1"/>
  <cols>
    <col min="1" max="1" width="1.453125" style="79" customWidth="1"/>
    <col min="2" max="2" width="5.90625" style="80" customWidth="1"/>
    <col min="3" max="3" width="27" style="79" customWidth="1"/>
    <col min="4" max="4" width="12.08984375" style="79" customWidth="1"/>
    <col min="5" max="19" width="9.6328125" style="79" customWidth="1"/>
    <col min="20" max="24" width="9.6328125" style="79" bestFit="1" customWidth="1"/>
    <col min="25" max="33" width="7.90625" style="79" customWidth="1"/>
    <col min="34" max="16384" width="9" style="79"/>
  </cols>
  <sheetData>
    <row r="1" spans="2:33" ht="6" customHeight="1"/>
    <row r="2" spans="2:33" s="76" customFormat="1" ht="30" customHeight="1">
      <c r="B2" s="760" t="s">
        <v>730</v>
      </c>
      <c r="C2" s="728"/>
      <c r="D2" s="728"/>
      <c r="E2" s="728"/>
      <c r="F2" s="728"/>
      <c r="G2" s="728"/>
      <c r="H2" s="728"/>
      <c r="I2" s="728"/>
      <c r="J2" s="728"/>
      <c r="K2" s="728"/>
      <c r="L2" s="728"/>
      <c r="M2" s="728"/>
      <c r="N2" s="728"/>
      <c r="O2" s="728"/>
      <c r="P2" s="728"/>
      <c r="Q2" s="728"/>
      <c r="R2" s="728"/>
      <c r="S2" s="728"/>
      <c r="T2" s="728"/>
      <c r="U2" s="728"/>
      <c r="V2" s="728"/>
      <c r="W2" s="728"/>
      <c r="X2" s="728"/>
      <c r="Y2" s="84"/>
      <c r="Z2" s="84"/>
      <c r="AA2" s="84"/>
      <c r="AB2" s="84"/>
      <c r="AC2" s="84"/>
      <c r="AD2" s="84"/>
      <c r="AE2" s="84"/>
      <c r="AF2" s="84"/>
      <c r="AG2" s="84"/>
    </row>
    <row r="3" spans="2:33" s="77" customFormat="1" ht="18" customHeight="1">
      <c r="B3" s="484" t="s">
        <v>324</v>
      </c>
      <c r="C3" s="484" t="s">
        <v>379</v>
      </c>
      <c r="D3" s="501" t="s">
        <v>92</v>
      </c>
      <c r="E3" s="484" t="s">
        <v>477</v>
      </c>
      <c r="F3" s="484" t="s">
        <v>478</v>
      </c>
      <c r="G3" s="484" t="s">
        <v>479</v>
      </c>
      <c r="H3" s="484" t="s">
        <v>480</v>
      </c>
      <c r="I3" s="484" t="s">
        <v>481</v>
      </c>
      <c r="J3" s="484" t="s">
        <v>482</v>
      </c>
      <c r="K3" s="484" t="s">
        <v>483</v>
      </c>
      <c r="L3" s="484" t="s">
        <v>484</v>
      </c>
      <c r="M3" s="484" t="s">
        <v>485</v>
      </c>
      <c r="N3" s="484" t="s">
        <v>486</v>
      </c>
      <c r="O3" s="484" t="s">
        <v>487</v>
      </c>
      <c r="P3" s="484" t="s">
        <v>488</v>
      </c>
      <c r="Q3" s="484" t="s">
        <v>489</v>
      </c>
      <c r="R3" s="484" t="s">
        <v>490</v>
      </c>
      <c r="S3" s="484" t="s">
        <v>491</v>
      </c>
      <c r="T3" s="484" t="s">
        <v>492</v>
      </c>
      <c r="U3" s="484" t="s">
        <v>493</v>
      </c>
      <c r="V3" s="484" t="s">
        <v>494</v>
      </c>
      <c r="W3" s="484" t="s">
        <v>495</v>
      </c>
      <c r="X3" s="484" t="s">
        <v>496</v>
      </c>
      <c r="Y3" s="502"/>
      <c r="Z3" s="502"/>
      <c r="AA3" s="502"/>
      <c r="AB3" s="502"/>
      <c r="AC3" s="502"/>
      <c r="AD3" s="502"/>
      <c r="AE3" s="502"/>
      <c r="AF3" s="502"/>
      <c r="AG3" s="502"/>
    </row>
    <row r="4" spans="2:33" s="77" customFormat="1" ht="18" hidden="1" customHeight="1">
      <c r="B4" s="496">
        <v>1</v>
      </c>
      <c r="C4" s="497" t="s">
        <v>127</v>
      </c>
      <c r="D4" s="498"/>
      <c r="E4" s="498"/>
      <c r="F4" s="498"/>
      <c r="G4" s="498"/>
      <c r="H4" s="498"/>
      <c r="I4" s="498"/>
      <c r="J4" s="498"/>
      <c r="K4" s="498"/>
      <c r="L4" s="498"/>
      <c r="M4" s="498"/>
      <c r="N4" s="498"/>
      <c r="O4" s="498"/>
      <c r="P4" s="499"/>
      <c r="Q4" s="499"/>
      <c r="R4" s="499"/>
      <c r="S4" s="499"/>
      <c r="T4" s="500"/>
      <c r="U4" s="500"/>
      <c r="V4" s="85"/>
      <c r="W4" s="85"/>
      <c r="X4" s="85"/>
      <c r="Y4" s="79"/>
      <c r="Z4" s="79"/>
      <c r="AA4" s="79"/>
      <c r="AB4" s="79"/>
      <c r="AC4" s="79"/>
      <c r="AD4" s="79"/>
      <c r="AE4" s="79"/>
      <c r="AF4" s="79"/>
      <c r="AG4" s="79"/>
    </row>
    <row r="5" spans="2:33" s="77" customFormat="1" ht="18" customHeight="1">
      <c r="B5" s="81">
        <v>1.1000000000000001</v>
      </c>
      <c r="C5" s="231" t="s">
        <v>128</v>
      </c>
      <c r="D5" s="422">
        <f>SUM(E5:U5)</f>
        <v>106762.97492500002</v>
      </c>
      <c r="E5" s="422">
        <f>'附表2 投资计划与资金筹措平衡表 '!D5-'附表2 投资计划与资金筹措平衡表 '!D21</f>
        <v>59832.185000000005</v>
      </c>
      <c r="F5" s="422">
        <f>'附表2 投资计划与资金筹措平衡表 '!E5-'附表2 投资计划与资金筹措平衡表 '!E21</f>
        <v>8809.086325000002</v>
      </c>
      <c r="G5" s="422">
        <f>'附表2 投资计划与资金筹措平衡表 '!F5-'附表2 投资计划与资金筹措平衡表 '!F21</f>
        <v>4535.695812500001</v>
      </c>
      <c r="H5" s="422">
        <f>'附表2 投资计划与资金筹措平衡表 '!G5-'附表2 投资计划与资金筹措平衡表 '!G21</f>
        <v>4601.272137500001</v>
      </c>
      <c r="I5" s="422">
        <f>'附表2 投资计划与资金筹措平衡表 '!H5-'附表2 投资计划与资金筹措平衡表 '!H21</f>
        <v>4666.848462500001</v>
      </c>
      <c r="J5" s="422">
        <f>'附表2 投资计划与资金筹措平衡表 '!I5-'附表2 投资计划与资金筹措平衡表 '!I21</f>
        <v>4732.424787500001</v>
      </c>
      <c r="K5" s="422">
        <f>'附表2 投资计划与资金筹措平衡表 '!J5-'附表2 投资计划与资金筹措平衡表 '!J21</f>
        <v>4798.001112500001</v>
      </c>
      <c r="L5" s="422">
        <f>'附表2 投资计划与资金筹措平衡表 '!K5-'附表2 投资计划与资金筹措平衡表 '!K21</f>
        <v>4863.577437500001</v>
      </c>
      <c r="M5" s="422">
        <f>'附表2 投资计划与资金筹措平衡表 '!L5-'附表2 投资计划与资金筹措平衡表 '!L21</f>
        <v>4929.153762500001</v>
      </c>
      <c r="N5" s="422">
        <f>'附表2 投资计划与资金筹措平衡表 '!M5-'附表2 投资计划与资金筹措平衡表 '!M21</f>
        <v>4994.730087500001</v>
      </c>
      <c r="O5" s="422"/>
      <c r="P5" s="422"/>
      <c r="Q5" s="422"/>
      <c r="R5" s="422"/>
      <c r="S5" s="422"/>
      <c r="T5" s="423"/>
      <c r="U5" s="423"/>
      <c r="V5" s="424"/>
      <c r="W5" s="424"/>
      <c r="X5" s="424"/>
      <c r="Y5" s="79"/>
      <c r="Z5" s="79"/>
      <c r="AA5" s="79"/>
      <c r="AB5" s="79"/>
      <c r="AC5" s="79"/>
      <c r="AD5" s="79"/>
      <c r="AE5" s="79"/>
      <c r="AF5" s="79"/>
      <c r="AG5" s="79"/>
    </row>
    <row r="6" spans="2:33" s="77" customFormat="1" ht="18" customHeight="1">
      <c r="B6" s="82" t="s">
        <v>46</v>
      </c>
      <c r="C6" s="231" t="s">
        <v>129</v>
      </c>
      <c r="D6" s="422"/>
      <c r="E6" s="424"/>
      <c r="F6" s="425"/>
      <c r="G6" s="425"/>
      <c r="H6" s="425">
        <f>SUM($E$5:H5)</f>
        <v>77778.239275</v>
      </c>
      <c r="I6" s="425">
        <f>SUM($E$5:I5)</f>
        <v>82445.087737499998</v>
      </c>
      <c r="J6" s="425">
        <f>SUM($E$5:J5)</f>
        <v>87177.512524999998</v>
      </c>
      <c r="K6" s="425">
        <f>SUM($E$5:K5)</f>
        <v>91975.5136375</v>
      </c>
      <c r="L6" s="425">
        <f>SUM($E$5:L5)</f>
        <v>96839.091075000004</v>
      </c>
      <c r="M6" s="425">
        <f>SUM($E$5:M5)</f>
        <v>101768.24483750001</v>
      </c>
      <c r="N6" s="425">
        <f>SUM($E$5:N5)</f>
        <v>106762.97492500002</v>
      </c>
      <c r="O6" s="425">
        <f>SUM($E$5:O5)</f>
        <v>106762.97492500002</v>
      </c>
      <c r="P6" s="425">
        <f>SUM($E$5:P5)</f>
        <v>106762.97492500002</v>
      </c>
      <c r="Q6" s="425">
        <f>SUM($E$5:Q5)</f>
        <v>106762.97492500002</v>
      </c>
      <c r="R6" s="425">
        <f>SUM($E$5:R5)</f>
        <v>106762.97492500002</v>
      </c>
      <c r="S6" s="425">
        <f>SUM($E$5:S5)</f>
        <v>106762.97492500002</v>
      </c>
      <c r="T6" s="425">
        <f>SUM($E$5:T5)</f>
        <v>106762.97492500002</v>
      </c>
      <c r="U6" s="425">
        <f>SUM($E$5:U5)</f>
        <v>106762.97492500002</v>
      </c>
      <c r="V6" s="425">
        <f>SUM($E$5:V5)</f>
        <v>106762.97492500002</v>
      </c>
      <c r="W6" s="425">
        <f>SUM($E$5:W5)</f>
        <v>106762.97492500002</v>
      </c>
      <c r="X6" s="425">
        <f>SUM($E$5:X5)</f>
        <v>106762.97492500002</v>
      </c>
      <c r="Y6" s="79"/>
      <c r="Z6" s="79"/>
      <c r="AA6" s="79"/>
      <c r="AB6" s="79"/>
      <c r="AC6" s="79"/>
      <c r="AD6" s="79"/>
      <c r="AE6" s="79"/>
      <c r="AF6" s="79"/>
      <c r="AG6" s="79"/>
    </row>
    <row r="7" spans="2:33" s="78" customFormat="1" ht="18" customHeight="1">
      <c r="B7" s="83" t="s">
        <v>48</v>
      </c>
      <c r="C7" s="230" t="s">
        <v>366</v>
      </c>
      <c r="D7" s="422">
        <f>SUM(E7:X7)</f>
        <v>106762.97492500002</v>
      </c>
      <c r="E7" s="422">
        <f>$D$5*'3.2 营业收入汇总表'!D11</f>
        <v>0</v>
      </c>
      <c r="F7" s="422">
        <f>$D$5*'3.2 营业收入汇总表'!E11</f>
        <v>0</v>
      </c>
      <c r="G7" s="422">
        <f>$D$5*'3.2 营业收入汇总表'!F11</f>
        <v>0</v>
      </c>
      <c r="H7" s="422">
        <f>$D$5*'3.2 营业收入汇总表'!G11</f>
        <v>25292.129425742773</v>
      </c>
      <c r="I7" s="422">
        <f>$D$5*'3.2 营业收入汇总表'!H11</f>
        <v>10740.753946886869</v>
      </c>
      <c r="J7" s="422">
        <f>$D$5*'3.2 营业收入汇总表'!I11</f>
        <v>10740.753946886869</v>
      </c>
      <c r="K7" s="422">
        <f>$D$5*'3.2 营业收入汇总表'!J11</f>
        <v>14054.139973585783</v>
      </c>
      <c r="L7" s="422">
        <f>$D$5*'3.2 营业收入汇总表'!K11</f>
        <v>8531.8299290875912</v>
      </c>
      <c r="M7" s="422">
        <f>$D$5*'3.2 营业收入汇总表'!L11</f>
        <v>6322.9059112883142</v>
      </c>
      <c r="N7" s="422">
        <f>$D$5*'3.2 营业收入汇总表'!M11</f>
        <v>5218.4439023886762</v>
      </c>
      <c r="O7" s="422">
        <f>$D$5*'3.2 营业收入汇总表'!N11</f>
        <v>377.27777111403731</v>
      </c>
      <c r="P7" s="422">
        <f>$D$5*'3.2 营业收入汇总表'!O11</f>
        <v>377.27777111403731</v>
      </c>
      <c r="Q7" s="422">
        <f>$D$5*'3.2 营业收入汇总表'!P11</f>
        <v>377.27777111403731</v>
      </c>
      <c r="R7" s="422">
        <f>$D$5*'3.2 营业收入汇总表'!Q11</f>
        <v>377.27777111403731</v>
      </c>
      <c r="S7" s="422">
        <f>$D$5*'3.2 营业收入汇总表'!R11</f>
        <v>377.27777111403731</v>
      </c>
      <c r="T7" s="422">
        <f>$D$5*'3.2 营业收入汇总表'!S11</f>
        <v>377.27777111403731</v>
      </c>
      <c r="U7" s="422">
        <f>$D$5*'3.2 营业收入汇总表'!T11</f>
        <v>377.27777111403731</v>
      </c>
      <c r="V7" s="422">
        <f>$D$5*'3.2 营业收入汇总表'!U11</f>
        <v>377.27777111403731</v>
      </c>
      <c r="W7" s="422">
        <f>$D$5*'3.2 营业收入汇总表'!V11</f>
        <v>377.27777111403731</v>
      </c>
      <c r="X7" s="422">
        <f>$D$5*'3.2 营业收入汇总表'!W11</f>
        <v>22466.517949106801</v>
      </c>
      <c r="Y7" s="79"/>
      <c r="Z7" s="79"/>
      <c r="AA7" s="79"/>
      <c r="AB7" s="79"/>
      <c r="AC7" s="79"/>
      <c r="AD7" s="79"/>
      <c r="AE7" s="79"/>
      <c r="AF7" s="79"/>
      <c r="AG7" s="79"/>
    </row>
    <row r="8" spans="2:33" s="77" customFormat="1" ht="18" customHeight="1">
      <c r="B8" s="82" t="s">
        <v>54</v>
      </c>
      <c r="C8" s="231" t="s">
        <v>130</v>
      </c>
      <c r="D8" s="422"/>
      <c r="E8" s="422"/>
      <c r="F8" s="425"/>
      <c r="G8" s="426"/>
      <c r="H8" s="426">
        <f>SUM($E$5:H5)-SUM($E$7:H7)</f>
        <v>52486.109849257227</v>
      </c>
      <c r="I8" s="426">
        <f>SUM($E$5:I5)-SUM($E$7:I7)</f>
        <v>46412.204364870355</v>
      </c>
      <c r="J8" s="426">
        <f>SUM($E$5:J5)-SUM($E$7:J7)</f>
        <v>40403.875205483484</v>
      </c>
      <c r="K8" s="426">
        <f>SUM($E$5:K5)-SUM($E$7:K7)</f>
        <v>31147.736344397701</v>
      </c>
      <c r="L8" s="426">
        <f>SUM($E$5:L5)-SUM($E$7:L7)</f>
        <v>27479.48385281011</v>
      </c>
      <c r="M8" s="426">
        <f>SUM($E$5:M5)-SUM($E$7:M7)</f>
        <v>26085.731704021804</v>
      </c>
      <c r="N8" s="426">
        <f>SUM($E$5:N5)-SUM($E$7:N7)</f>
        <v>25862.017889133131</v>
      </c>
      <c r="O8" s="426">
        <f>SUM($E$5:O5)-SUM($E$7:O7)</f>
        <v>25484.740118019094</v>
      </c>
      <c r="P8" s="426">
        <f>SUM($E$5:P5)-SUM($E$7:P7)</f>
        <v>25107.462346905057</v>
      </c>
      <c r="Q8" s="426">
        <f>SUM($E$5:Q5)-SUM($E$7:Q7)</f>
        <v>24730.18457579102</v>
      </c>
      <c r="R8" s="426">
        <f>SUM($E$5:R5)-SUM($E$7:R7)</f>
        <v>24352.906804676983</v>
      </c>
      <c r="S8" s="426">
        <f>SUM($E$5:S5)-SUM($E$7:S7)</f>
        <v>23975.629033562946</v>
      </c>
      <c r="T8" s="426">
        <f>SUM($E$5:T5)-SUM($E$7:T7)</f>
        <v>23598.351262448909</v>
      </c>
      <c r="U8" s="426">
        <f>SUM($E$5:U5)-SUM($E$7:U7)</f>
        <v>23221.073491334872</v>
      </c>
      <c r="V8" s="426">
        <f>SUM($E$5:V5)-SUM($E$7:V7)</f>
        <v>22843.795720220834</v>
      </c>
      <c r="W8" s="426">
        <f>SUM($E$5:W5)-SUM($E$7:W7)</f>
        <v>22466.517949106797</v>
      </c>
      <c r="X8" s="426">
        <f>SUM($E$5:X5)-SUM($E$7:X7)</f>
        <v>0</v>
      </c>
      <c r="Y8" s="79"/>
      <c r="Z8" s="79"/>
      <c r="AA8" s="79"/>
      <c r="AB8" s="79"/>
      <c r="AC8" s="79"/>
      <c r="AD8" s="79"/>
      <c r="AE8" s="79"/>
      <c r="AF8" s="79"/>
      <c r="AG8" s="79"/>
    </row>
    <row r="9" spans="2:33" s="77" customFormat="1" ht="18" customHeight="1">
      <c r="B9" s="81">
        <v>1.2</v>
      </c>
      <c r="C9" s="231" t="s">
        <v>131</v>
      </c>
      <c r="D9" s="422"/>
      <c r="E9" s="422"/>
      <c r="F9" s="422"/>
      <c r="G9" s="422"/>
      <c r="H9" s="422"/>
      <c r="I9" s="422"/>
      <c r="J9" s="422"/>
      <c r="K9" s="422"/>
      <c r="L9" s="422"/>
      <c r="M9" s="422"/>
      <c r="N9" s="422"/>
      <c r="O9" s="422"/>
      <c r="P9" s="423"/>
      <c r="Q9" s="423"/>
      <c r="R9" s="423"/>
      <c r="S9" s="423"/>
      <c r="T9" s="424"/>
      <c r="U9" s="424"/>
      <c r="V9" s="424"/>
      <c r="W9" s="424"/>
      <c r="X9" s="424"/>
      <c r="Y9" s="85"/>
      <c r="Z9" s="85"/>
      <c r="AA9" s="85"/>
      <c r="AB9" s="85"/>
      <c r="AC9" s="85"/>
      <c r="AD9" s="85"/>
      <c r="AE9" s="85"/>
      <c r="AF9" s="85"/>
      <c r="AG9" s="85"/>
    </row>
    <row r="10" spans="2:33" s="77" customFormat="1" ht="18" customHeight="1">
      <c r="B10" s="82" t="s">
        <v>61</v>
      </c>
      <c r="C10" s="231" t="s">
        <v>129</v>
      </c>
      <c r="D10" s="422"/>
      <c r="E10" s="422"/>
      <c r="F10" s="422"/>
      <c r="G10" s="422"/>
      <c r="H10" s="422"/>
      <c r="I10" s="422"/>
      <c r="J10" s="422"/>
      <c r="K10" s="422"/>
      <c r="L10" s="422"/>
      <c r="M10" s="422"/>
      <c r="N10" s="422"/>
      <c r="O10" s="422"/>
      <c r="P10" s="423"/>
      <c r="Q10" s="423"/>
      <c r="R10" s="423"/>
      <c r="S10" s="423"/>
      <c r="T10" s="424"/>
      <c r="U10" s="424"/>
      <c r="V10" s="424"/>
      <c r="W10" s="424"/>
      <c r="X10" s="424"/>
      <c r="Y10" s="85"/>
      <c r="Z10" s="85"/>
      <c r="AA10" s="85"/>
      <c r="AB10" s="85"/>
      <c r="AC10" s="85"/>
      <c r="AD10" s="85"/>
      <c r="AE10" s="85"/>
      <c r="AF10" s="85"/>
      <c r="AG10" s="85"/>
    </row>
    <row r="11" spans="2:33" s="77" customFormat="1" ht="18" customHeight="1">
      <c r="B11" s="82" t="s">
        <v>63</v>
      </c>
      <c r="C11" s="231" t="s">
        <v>366</v>
      </c>
      <c r="D11" s="422"/>
      <c r="E11" s="422"/>
      <c r="F11" s="422"/>
      <c r="G11" s="422"/>
      <c r="H11" s="422"/>
      <c r="I11" s="422"/>
      <c r="J11" s="422"/>
      <c r="K11" s="422"/>
      <c r="L11" s="422"/>
      <c r="M11" s="422"/>
      <c r="N11" s="422"/>
      <c r="O11" s="422"/>
      <c r="P11" s="423"/>
      <c r="Q11" s="423"/>
      <c r="R11" s="423"/>
      <c r="S11" s="423"/>
      <c r="T11" s="424"/>
      <c r="U11" s="424"/>
      <c r="V11" s="424"/>
      <c r="W11" s="424"/>
      <c r="X11" s="424"/>
      <c r="Y11" s="85"/>
      <c r="Z11" s="85"/>
      <c r="AA11" s="85"/>
      <c r="AB11" s="85"/>
      <c r="AC11" s="85"/>
      <c r="AD11" s="85"/>
      <c r="AE11" s="85"/>
      <c r="AF11" s="85"/>
      <c r="AG11" s="85"/>
    </row>
    <row r="12" spans="2:33" s="77" customFormat="1" ht="18" customHeight="1">
      <c r="B12" s="82" t="s">
        <v>79</v>
      </c>
      <c r="C12" s="231" t="s">
        <v>130</v>
      </c>
      <c r="D12" s="422">
        <f>SUM(E12:X12)</f>
        <v>0</v>
      </c>
      <c r="E12" s="422"/>
      <c r="F12" s="422"/>
      <c r="G12" s="422"/>
      <c r="H12" s="422"/>
      <c r="I12" s="422"/>
      <c r="J12" s="422"/>
      <c r="K12" s="422"/>
      <c r="L12" s="422"/>
      <c r="M12" s="422"/>
      <c r="N12" s="422"/>
      <c r="O12" s="422"/>
      <c r="P12" s="423"/>
      <c r="Q12" s="423"/>
      <c r="R12" s="423"/>
      <c r="S12" s="423"/>
      <c r="T12" s="424"/>
      <c r="U12" s="424"/>
      <c r="V12" s="424"/>
      <c r="W12" s="424"/>
      <c r="X12" s="424"/>
      <c r="Y12" s="85"/>
      <c r="Z12" s="85"/>
      <c r="AA12" s="85"/>
      <c r="AB12" s="85"/>
      <c r="AC12" s="85"/>
      <c r="AD12" s="85"/>
      <c r="AE12" s="85"/>
      <c r="AF12" s="85"/>
      <c r="AG12" s="85"/>
    </row>
    <row r="13" spans="2:33" s="77" customFormat="1" ht="18" customHeight="1">
      <c r="B13" s="81">
        <v>1.3</v>
      </c>
      <c r="C13" s="231" t="s">
        <v>712</v>
      </c>
      <c r="D13" s="422">
        <f>SUM(E13:X13)</f>
        <v>106762.97492500002</v>
      </c>
      <c r="E13" s="422">
        <f t="shared" ref="E13:N13" si="0">E5</f>
        <v>59832.185000000005</v>
      </c>
      <c r="F13" s="422">
        <f t="shared" si="0"/>
        <v>8809.086325000002</v>
      </c>
      <c r="G13" s="422">
        <f t="shared" si="0"/>
        <v>4535.695812500001</v>
      </c>
      <c r="H13" s="422">
        <f t="shared" si="0"/>
        <v>4601.272137500001</v>
      </c>
      <c r="I13" s="422">
        <f t="shared" si="0"/>
        <v>4666.848462500001</v>
      </c>
      <c r="J13" s="422">
        <f t="shared" si="0"/>
        <v>4732.424787500001</v>
      </c>
      <c r="K13" s="422">
        <f t="shared" si="0"/>
        <v>4798.001112500001</v>
      </c>
      <c r="L13" s="422">
        <f t="shared" si="0"/>
        <v>4863.577437500001</v>
      </c>
      <c r="M13" s="422">
        <f t="shared" si="0"/>
        <v>4929.153762500001</v>
      </c>
      <c r="N13" s="422">
        <f t="shared" si="0"/>
        <v>4994.730087500001</v>
      </c>
      <c r="O13" s="422"/>
      <c r="P13" s="422"/>
      <c r="Q13" s="423"/>
      <c r="R13" s="423"/>
      <c r="S13" s="423"/>
      <c r="T13" s="424"/>
      <c r="U13" s="424"/>
      <c r="V13" s="424"/>
      <c r="W13" s="424"/>
      <c r="X13" s="424"/>
      <c r="Y13" s="85"/>
      <c r="Z13" s="85"/>
      <c r="AA13" s="85"/>
      <c r="AB13" s="85"/>
      <c r="AC13" s="85"/>
      <c r="AD13" s="85"/>
      <c r="AE13" s="85"/>
      <c r="AF13" s="85"/>
      <c r="AG13" s="85"/>
    </row>
    <row r="14" spans="2:33" s="77" customFormat="1" ht="18" customHeight="1">
      <c r="B14" s="82" t="s">
        <v>66</v>
      </c>
      <c r="C14" s="231" t="s">
        <v>129</v>
      </c>
      <c r="D14" s="422"/>
      <c r="E14" s="422">
        <f>E6</f>
        <v>0</v>
      </c>
      <c r="F14" s="422">
        <f t="shared" ref="F14:O14" si="1">F6</f>
        <v>0</v>
      </c>
      <c r="G14" s="422">
        <f t="shared" si="1"/>
        <v>0</v>
      </c>
      <c r="H14" s="422">
        <f t="shared" si="1"/>
        <v>77778.239275</v>
      </c>
      <c r="I14" s="422">
        <f t="shared" si="1"/>
        <v>82445.087737499998</v>
      </c>
      <c r="J14" s="422">
        <f t="shared" si="1"/>
        <v>87177.512524999998</v>
      </c>
      <c r="K14" s="422">
        <f t="shared" si="1"/>
        <v>91975.5136375</v>
      </c>
      <c r="L14" s="422">
        <f t="shared" si="1"/>
        <v>96839.091075000004</v>
      </c>
      <c r="M14" s="422">
        <f t="shared" si="1"/>
        <v>101768.24483750001</v>
      </c>
      <c r="N14" s="422">
        <f t="shared" si="1"/>
        <v>106762.97492500002</v>
      </c>
      <c r="O14" s="422">
        <f t="shared" si="1"/>
        <v>106762.97492500002</v>
      </c>
      <c r="P14" s="427">
        <f>P6</f>
        <v>106762.97492500002</v>
      </c>
      <c r="Q14" s="427">
        <f>Q6</f>
        <v>106762.97492500002</v>
      </c>
      <c r="R14" s="428">
        <f t="shared" ref="R14:S14" si="2">R6+R10</f>
        <v>106762.97492500002</v>
      </c>
      <c r="S14" s="428">
        <f t="shared" si="2"/>
        <v>106762.97492500002</v>
      </c>
      <c r="T14" s="422">
        <f t="shared" ref="T14:U14" si="3">T6</f>
        <v>106762.97492500002</v>
      </c>
      <c r="U14" s="422">
        <f t="shared" si="3"/>
        <v>106762.97492500002</v>
      </c>
      <c r="V14" s="422">
        <f t="shared" ref="V14:X14" si="4">V6</f>
        <v>106762.97492500002</v>
      </c>
      <c r="W14" s="422">
        <f t="shared" si="4"/>
        <v>106762.97492500002</v>
      </c>
      <c r="X14" s="422">
        <f t="shared" si="4"/>
        <v>106762.97492500002</v>
      </c>
      <c r="Y14" s="85"/>
      <c r="Z14" s="85"/>
      <c r="AA14" s="85"/>
      <c r="AB14" s="85"/>
      <c r="AC14" s="85"/>
      <c r="AD14" s="85"/>
      <c r="AE14" s="85"/>
      <c r="AF14" s="85"/>
      <c r="AG14" s="85"/>
    </row>
    <row r="15" spans="2:33" s="77" customFormat="1" ht="18" customHeight="1">
      <c r="B15" s="82" t="s">
        <v>68</v>
      </c>
      <c r="C15" s="231" t="s">
        <v>366</v>
      </c>
      <c r="D15" s="422">
        <f>SUM(E15:X15)</f>
        <v>106762.97492500002</v>
      </c>
      <c r="E15" s="429"/>
      <c r="F15" s="429"/>
      <c r="G15" s="428"/>
      <c r="H15" s="428">
        <f t="shared" ref="H15:N15" si="5">H7+H11</f>
        <v>25292.129425742773</v>
      </c>
      <c r="I15" s="428">
        <f t="shared" si="5"/>
        <v>10740.753946886869</v>
      </c>
      <c r="J15" s="428">
        <f t="shared" si="5"/>
        <v>10740.753946886869</v>
      </c>
      <c r="K15" s="428">
        <f t="shared" si="5"/>
        <v>14054.139973585783</v>
      </c>
      <c r="L15" s="428">
        <f t="shared" si="5"/>
        <v>8531.8299290875912</v>
      </c>
      <c r="M15" s="428">
        <f t="shared" si="5"/>
        <v>6322.9059112883142</v>
      </c>
      <c r="N15" s="428">
        <f t="shared" si="5"/>
        <v>5218.4439023886762</v>
      </c>
      <c r="O15" s="428">
        <f t="shared" ref="O15:Q16" si="6">O7+O11</f>
        <v>377.27777111403731</v>
      </c>
      <c r="P15" s="428">
        <f t="shared" si="6"/>
        <v>377.27777111403731</v>
      </c>
      <c r="Q15" s="428">
        <f t="shared" si="6"/>
        <v>377.27777111403731</v>
      </c>
      <c r="R15" s="428">
        <f t="shared" ref="R15:S15" si="7">R7+R11</f>
        <v>377.27777111403731</v>
      </c>
      <c r="S15" s="428">
        <f t="shared" si="7"/>
        <v>377.27777111403731</v>
      </c>
      <c r="T15" s="423">
        <f t="shared" ref="T15:U15" si="8">T7+T11</f>
        <v>377.27777111403731</v>
      </c>
      <c r="U15" s="423">
        <f t="shared" si="8"/>
        <v>377.27777111403731</v>
      </c>
      <c r="V15" s="423">
        <f t="shared" ref="V15:X15" si="9">V7+V11</f>
        <v>377.27777111403731</v>
      </c>
      <c r="W15" s="423">
        <f t="shared" si="9"/>
        <v>377.27777111403731</v>
      </c>
      <c r="X15" s="423">
        <f t="shared" si="9"/>
        <v>22466.517949106801</v>
      </c>
      <c r="Y15" s="85"/>
      <c r="Z15" s="85"/>
      <c r="AA15" s="85"/>
      <c r="AB15" s="85"/>
      <c r="AC15" s="85"/>
      <c r="AD15" s="85"/>
      <c r="AE15" s="85"/>
      <c r="AF15" s="85"/>
      <c r="AG15" s="85"/>
    </row>
    <row r="16" spans="2:33" s="77" customFormat="1" ht="18" customHeight="1">
      <c r="B16" s="82" t="s">
        <v>83</v>
      </c>
      <c r="C16" s="231" t="s">
        <v>130</v>
      </c>
      <c r="D16" s="422"/>
      <c r="E16" s="422">
        <f>E8+E12</f>
        <v>0</v>
      </c>
      <c r="F16" s="422">
        <f t="shared" ref="F16:O16" si="10">F8+F12</f>
        <v>0</v>
      </c>
      <c r="G16" s="422">
        <f t="shared" si="10"/>
        <v>0</v>
      </c>
      <c r="H16" s="422">
        <f t="shared" si="10"/>
        <v>52486.109849257227</v>
      </c>
      <c r="I16" s="422">
        <f t="shared" si="10"/>
        <v>46412.204364870355</v>
      </c>
      <c r="J16" s="422">
        <f t="shared" si="10"/>
        <v>40403.875205483484</v>
      </c>
      <c r="K16" s="422">
        <f t="shared" si="10"/>
        <v>31147.736344397701</v>
      </c>
      <c r="L16" s="422">
        <f t="shared" si="10"/>
        <v>27479.48385281011</v>
      </c>
      <c r="M16" s="422">
        <f t="shared" si="10"/>
        <v>26085.731704021804</v>
      </c>
      <c r="N16" s="422">
        <f t="shared" si="10"/>
        <v>25862.017889133131</v>
      </c>
      <c r="O16" s="422">
        <f t="shared" si="10"/>
        <v>25484.740118019094</v>
      </c>
      <c r="P16" s="428">
        <f t="shared" si="6"/>
        <v>25107.462346905057</v>
      </c>
      <c r="Q16" s="428">
        <f t="shared" si="6"/>
        <v>24730.18457579102</v>
      </c>
      <c r="R16" s="428">
        <f t="shared" ref="R16:S16" si="11">R8+R12</f>
        <v>24352.906804676983</v>
      </c>
      <c r="S16" s="428">
        <f t="shared" si="11"/>
        <v>23975.629033562946</v>
      </c>
      <c r="T16" s="423">
        <f t="shared" ref="T16:U16" si="12">T8+T12</f>
        <v>23598.351262448909</v>
      </c>
      <c r="U16" s="423">
        <f t="shared" si="12"/>
        <v>23221.073491334872</v>
      </c>
      <c r="V16" s="423">
        <f t="shared" ref="V16:X16" si="13">V8+V12</f>
        <v>22843.795720220834</v>
      </c>
      <c r="W16" s="423">
        <f t="shared" si="13"/>
        <v>22466.517949106797</v>
      </c>
      <c r="X16" s="423">
        <f t="shared" si="13"/>
        <v>0</v>
      </c>
      <c r="Y16" s="85"/>
      <c r="Z16" s="85"/>
      <c r="AA16" s="85"/>
      <c r="AB16" s="85"/>
      <c r="AC16" s="85"/>
      <c r="AD16" s="85"/>
      <c r="AE16" s="85"/>
      <c r="AF16" s="85"/>
      <c r="AG16" s="85"/>
    </row>
    <row r="17" spans="2:4" ht="18" customHeight="1">
      <c r="B17" s="79"/>
    </row>
    <row r="18" spans="2:4" ht="18" customHeight="1">
      <c r="B18" s="469" t="s">
        <v>554</v>
      </c>
      <c r="C18" s="470"/>
      <c r="D18"/>
    </row>
    <row r="19" spans="2:4" ht="18" customHeight="1">
      <c r="B19" s="79"/>
    </row>
    <row r="20" spans="2:4" ht="18" customHeight="1">
      <c r="B20" s="79"/>
    </row>
    <row r="21" spans="2:4" ht="18" customHeight="1">
      <c r="B21" s="79"/>
    </row>
    <row r="22" spans="2:4" ht="18" customHeight="1">
      <c r="B22" s="79"/>
      <c r="C22" s="104"/>
    </row>
    <row r="23" spans="2:4" ht="18" customHeight="1">
      <c r="B23" s="79"/>
      <c r="C23" s="104"/>
    </row>
    <row r="24" spans="2:4" ht="18" customHeight="1">
      <c r="B24" s="79"/>
    </row>
    <row r="25" spans="2:4" ht="18" customHeight="1">
      <c r="B25" s="79"/>
    </row>
  </sheetData>
  <mergeCells count="1">
    <mergeCell ref="B2:X2"/>
  </mergeCells>
  <phoneticPr fontId="27" type="noConversion"/>
  <hyperlinks>
    <hyperlink ref="B18" location="目录!A1" display="点击返回目录"/>
  </hyperlinks>
  <pageMargins left="0.69930555555555596" right="0.69930555555555596" top="0.75" bottom="0.75" header="0.3" footer="0.3"/>
  <pageSetup paperSize="9" scale="3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58"/>
  <sheetViews>
    <sheetView zoomScale="80" zoomScaleNormal="80" zoomScaleSheetLayoutView="80" workbookViewId="0">
      <pane xSplit="3" ySplit="4" topLeftCell="D5" activePane="bottomRight" state="frozen"/>
      <selection pane="topRight" activeCell="D1" sqref="D1"/>
      <selection pane="bottomLeft" activeCell="A5" sqref="A5"/>
      <selection pane="bottomRight" activeCell="AA15" sqref="AA15"/>
    </sheetView>
  </sheetViews>
  <sheetFormatPr defaultColWidth="9" defaultRowHeight="18" customHeight="1"/>
  <cols>
    <col min="1" max="1" width="2.453125" style="61" customWidth="1"/>
    <col min="2" max="2" width="6.08984375" style="61" customWidth="1"/>
    <col min="3" max="3" width="19.90625" style="61" customWidth="1"/>
    <col min="4" max="4" width="12.36328125" style="62" customWidth="1"/>
    <col min="5" max="19" width="8.6328125" style="62" customWidth="1"/>
    <col min="20" max="24" width="8.6328125" style="61" customWidth="1"/>
    <col min="25" max="16384" width="9" style="61"/>
  </cols>
  <sheetData>
    <row r="2" spans="2:24" ht="30" customHeight="1">
      <c r="B2" s="761" t="s">
        <v>716</v>
      </c>
      <c r="C2" s="762"/>
      <c r="D2" s="762"/>
      <c r="E2" s="762"/>
      <c r="F2" s="762"/>
      <c r="G2" s="762"/>
      <c r="H2" s="762"/>
      <c r="I2" s="762"/>
      <c r="J2" s="762"/>
      <c r="K2" s="762"/>
      <c r="L2" s="762"/>
      <c r="M2" s="762"/>
      <c r="N2" s="762"/>
      <c r="O2" s="762"/>
      <c r="P2" s="762"/>
      <c r="Q2" s="762"/>
      <c r="R2" s="762"/>
      <c r="S2" s="762"/>
      <c r="T2" s="762"/>
      <c r="U2" s="762"/>
      <c r="V2" s="762"/>
      <c r="W2" s="762"/>
      <c r="X2" s="762"/>
    </row>
    <row r="3" spans="2:24" s="59" customFormat="1" ht="18" hidden="1" customHeight="1">
      <c r="B3" s="765" t="s">
        <v>41</v>
      </c>
      <c r="C3" s="766" t="s">
        <v>86</v>
      </c>
      <c r="D3" s="767" t="s">
        <v>132</v>
      </c>
      <c r="E3" s="765" t="s">
        <v>91</v>
      </c>
      <c r="F3" s="765"/>
      <c r="G3" s="765"/>
      <c r="H3" s="765"/>
      <c r="I3" s="765"/>
      <c r="J3" s="765"/>
      <c r="K3" s="765"/>
      <c r="L3" s="765"/>
      <c r="M3" s="765"/>
      <c r="N3" s="765"/>
      <c r="O3" s="64" t="s">
        <v>119</v>
      </c>
      <c r="P3" s="765" t="s">
        <v>120</v>
      </c>
      <c r="Q3" s="765"/>
      <c r="R3" s="765"/>
      <c r="S3" s="64"/>
      <c r="T3" s="503"/>
      <c r="U3" s="503"/>
      <c r="V3" s="503"/>
      <c r="W3" s="503"/>
      <c r="X3" s="503"/>
    </row>
    <row r="4" spans="2:24" s="59" customFormat="1" ht="18" customHeight="1">
      <c r="B4" s="765"/>
      <c r="C4" s="766"/>
      <c r="D4" s="767"/>
      <c r="E4" s="484" t="s">
        <v>477</v>
      </c>
      <c r="F4" s="484" t="s">
        <v>478</v>
      </c>
      <c r="G4" s="484" t="s">
        <v>479</v>
      </c>
      <c r="H4" s="484" t="s">
        <v>480</v>
      </c>
      <c r="I4" s="484" t="s">
        <v>481</v>
      </c>
      <c r="J4" s="484" t="s">
        <v>482</v>
      </c>
      <c r="K4" s="484" t="s">
        <v>483</v>
      </c>
      <c r="L4" s="484" t="s">
        <v>484</v>
      </c>
      <c r="M4" s="484" t="s">
        <v>485</v>
      </c>
      <c r="N4" s="484" t="s">
        <v>486</v>
      </c>
      <c r="O4" s="484" t="s">
        <v>487</v>
      </c>
      <c r="P4" s="484" t="s">
        <v>488</v>
      </c>
      <c r="Q4" s="484" t="s">
        <v>489</v>
      </c>
      <c r="R4" s="484" t="s">
        <v>490</v>
      </c>
      <c r="S4" s="484" t="s">
        <v>491</v>
      </c>
      <c r="T4" s="484" t="s">
        <v>492</v>
      </c>
      <c r="U4" s="484" t="s">
        <v>493</v>
      </c>
      <c r="V4" s="484" t="s">
        <v>494</v>
      </c>
      <c r="W4" s="484" t="s">
        <v>495</v>
      </c>
      <c r="X4" s="484" t="s">
        <v>496</v>
      </c>
    </row>
    <row r="5" spans="2:24" s="59" customFormat="1" ht="18" customHeight="1">
      <c r="B5" s="68" t="s">
        <v>500</v>
      </c>
      <c r="C5" s="68"/>
      <c r="D5" s="432"/>
      <c r="E5" s="432"/>
      <c r="F5" s="432"/>
      <c r="G5" s="432"/>
      <c r="H5" s="432"/>
      <c r="I5" s="432"/>
      <c r="J5" s="432"/>
      <c r="K5" s="432"/>
      <c r="L5" s="432"/>
      <c r="M5" s="432"/>
      <c r="N5" s="432"/>
      <c r="O5" s="432"/>
      <c r="P5" s="432"/>
      <c r="Q5" s="432"/>
      <c r="R5" s="432"/>
      <c r="S5" s="432"/>
      <c r="T5" s="432"/>
      <c r="U5" s="432"/>
      <c r="V5" s="432"/>
      <c r="W5" s="432"/>
      <c r="X5" s="432"/>
    </row>
    <row r="6" spans="2:24" s="59" customFormat="1" ht="18" customHeight="1">
      <c r="B6" s="68">
        <v>1.1000000000000001</v>
      </c>
      <c r="C6" s="68" t="s">
        <v>133</v>
      </c>
      <c r="D6" s="432"/>
      <c r="E6" s="432">
        <v>0</v>
      </c>
      <c r="F6" s="432">
        <f>E14</f>
        <v>0</v>
      </c>
      <c r="G6" s="432">
        <f t="shared" ref="G6:H6" si="0">F14</f>
        <v>8743.510000000002</v>
      </c>
      <c r="H6" s="432">
        <f t="shared" si="0"/>
        <v>13115.265000000003</v>
      </c>
      <c r="I6" s="432">
        <f t="shared" ref="I6" si="1">H14</f>
        <v>17487.020000000004</v>
      </c>
      <c r="J6" s="432">
        <f t="shared" ref="J6" si="2">I14</f>
        <v>21858.775000000005</v>
      </c>
      <c r="K6" s="432">
        <f t="shared" ref="K6" si="3">J14</f>
        <v>26230.530000000006</v>
      </c>
      <c r="L6" s="432">
        <f t="shared" ref="L6" si="4">K14</f>
        <v>30602.285000000007</v>
      </c>
      <c r="M6" s="432">
        <f t="shared" ref="M6" si="5">L14</f>
        <v>34974.040000000008</v>
      </c>
      <c r="N6" s="432">
        <f t="shared" ref="N6" si="6">M14</f>
        <v>39345.795000000013</v>
      </c>
      <c r="O6" s="432">
        <f t="shared" ref="O6" si="7">N14</f>
        <v>43717.550000000017</v>
      </c>
      <c r="P6" s="432">
        <f t="shared" ref="P6" si="8">O14</f>
        <v>39632.836657476277</v>
      </c>
      <c r="Q6" s="432">
        <f t="shared" ref="Q6" si="9">P14</f>
        <v>35486.852614814678</v>
      </c>
      <c r="R6" s="432">
        <f t="shared" ref="R6" si="10">Q14</f>
        <v>31278.678811513153</v>
      </c>
      <c r="S6" s="432">
        <f t="shared" ref="S6" si="11">R14</f>
        <v>27007.382401162107</v>
      </c>
      <c r="T6" s="432">
        <f t="shared" ref="T6" si="12">S14</f>
        <v>22672.016544655795</v>
      </c>
      <c r="U6" s="432">
        <f t="shared" ref="U6" si="13">T14</f>
        <v>18271.620200301888</v>
      </c>
      <c r="V6" s="432">
        <f t="shared" ref="V6" si="14">U14</f>
        <v>13805.217910782672</v>
      </c>
      <c r="W6" s="432">
        <f t="shared" ref="W6" si="15">V14</f>
        <v>9271.8195869206684</v>
      </c>
      <c r="X6" s="432">
        <f t="shared" ref="X6" si="16">W14</f>
        <v>4670.4202882007339</v>
      </c>
    </row>
    <row r="7" spans="2:24" s="59" customFormat="1" ht="18" customHeight="1">
      <c r="B7" s="68">
        <v>1.2</v>
      </c>
      <c r="C7" s="68" t="s">
        <v>134</v>
      </c>
      <c r="D7" s="432">
        <f t="shared" ref="D7:D13" si="17">SUM(E7:X7)</f>
        <v>43717.550000000017</v>
      </c>
      <c r="E7" s="432">
        <f>'附表2 投资计划与资金筹措平衡表 '!D16</f>
        <v>0</v>
      </c>
      <c r="F7" s="432">
        <f>'附表2 投资计划与资金筹措平衡表 '!E16</f>
        <v>8743.510000000002</v>
      </c>
      <c r="G7" s="432">
        <f>'附表2 投资计划与资金筹措平衡表 '!F16</f>
        <v>4371.755000000001</v>
      </c>
      <c r="H7" s="432">
        <f>'附表2 投资计划与资金筹措平衡表 '!G16</f>
        <v>4371.755000000001</v>
      </c>
      <c r="I7" s="432">
        <f>'附表2 投资计划与资金筹措平衡表 '!H16</f>
        <v>4371.755000000001</v>
      </c>
      <c r="J7" s="432">
        <f>'附表2 投资计划与资金筹措平衡表 '!I16</f>
        <v>4371.755000000001</v>
      </c>
      <c r="K7" s="432">
        <f>'附表2 投资计划与资金筹措平衡表 '!J16</f>
        <v>4371.755000000001</v>
      </c>
      <c r="L7" s="432">
        <f>'附表2 投资计划与资金筹措平衡表 '!K16</f>
        <v>4371.755000000001</v>
      </c>
      <c r="M7" s="432">
        <f>'附表2 投资计划与资金筹措平衡表 '!L16</f>
        <v>4371.755000000001</v>
      </c>
      <c r="N7" s="432">
        <f>'附表2 投资计划与资金筹措平衡表 '!M16</f>
        <v>4371.755000000001</v>
      </c>
      <c r="O7" s="432">
        <f>'附表2 投资计划与资金筹措平衡表 '!N16</f>
        <v>0</v>
      </c>
      <c r="P7" s="432">
        <v>0</v>
      </c>
      <c r="Q7" s="432">
        <v>0</v>
      </c>
      <c r="R7" s="432">
        <v>0</v>
      </c>
      <c r="S7" s="432">
        <v>0</v>
      </c>
      <c r="T7" s="432">
        <v>0</v>
      </c>
      <c r="U7" s="432">
        <v>0</v>
      </c>
      <c r="V7" s="432">
        <v>0</v>
      </c>
      <c r="W7" s="432">
        <v>0</v>
      </c>
      <c r="X7" s="432">
        <v>0</v>
      </c>
    </row>
    <row r="8" spans="2:24" s="59" customFormat="1" ht="18" customHeight="1">
      <c r="B8" s="68">
        <v>1.3</v>
      </c>
      <c r="C8" s="68" t="s">
        <v>135</v>
      </c>
      <c r="D8" s="432">
        <f t="shared" si="17"/>
        <v>3213.2399250000008</v>
      </c>
      <c r="E8" s="432">
        <f>'附表2 投资计划与资金筹措平衡表 '!D9</f>
        <v>0</v>
      </c>
      <c r="F8" s="432">
        <f>'附表2 投资计划与资金筹措平衡表 '!E9</f>
        <v>65.576325000000011</v>
      </c>
      <c r="G8" s="432">
        <f>'附表2 投资计划与资金筹措平衡表 '!F9</f>
        <v>163.94081250000002</v>
      </c>
      <c r="H8" s="432">
        <f>'附表2 投资计划与资金筹措平衡表 '!G9</f>
        <v>229.51713750000005</v>
      </c>
      <c r="I8" s="432">
        <f>'附表2 投资计划与资金筹措平衡表 '!H9</f>
        <v>295.09346250000004</v>
      </c>
      <c r="J8" s="432">
        <f>'附表2 投资计划与资金筹措平衡表 '!I9</f>
        <v>360.66978750000004</v>
      </c>
      <c r="K8" s="432">
        <f>'附表2 投资计划与资金筹措平衡表 '!J9</f>
        <v>426.24611250000009</v>
      </c>
      <c r="L8" s="432">
        <f>'附表2 投资计划与资金筹措平衡表 '!K9</f>
        <v>491.82243750000009</v>
      </c>
      <c r="M8" s="432">
        <f>'附表2 投资计划与资金筹措平衡表 '!L9</f>
        <v>557.39876250000009</v>
      </c>
      <c r="N8" s="432">
        <f>'附表2 投资计划与资金筹措平衡表 '!M9</f>
        <v>622.9750875000002</v>
      </c>
      <c r="O8" s="432"/>
      <c r="P8" s="432"/>
      <c r="Q8" s="432"/>
      <c r="R8" s="432"/>
      <c r="S8" s="432"/>
      <c r="T8" s="432"/>
      <c r="U8" s="432"/>
      <c r="V8" s="432"/>
      <c r="W8" s="432"/>
      <c r="X8" s="432"/>
    </row>
    <row r="9" spans="2:24" s="59" customFormat="1" ht="18" customHeight="1">
      <c r="B9" s="68">
        <v>1.4</v>
      </c>
      <c r="C9" s="68" t="s">
        <v>136</v>
      </c>
      <c r="D9" s="432">
        <f t="shared" si="17"/>
        <v>3687.215925237419</v>
      </c>
      <c r="E9" s="432"/>
      <c r="F9" s="432"/>
      <c r="G9" s="432"/>
      <c r="H9" s="432"/>
      <c r="I9" s="432"/>
      <c r="J9" s="432"/>
      <c r="K9" s="432"/>
      <c r="L9" s="432"/>
      <c r="M9" s="432"/>
      <c r="N9" s="432"/>
      <c r="O9" s="432">
        <f>O6*'0基本假设 '!$L$34</f>
        <v>655.7632500000002</v>
      </c>
      <c r="P9" s="432">
        <f>P6*'0基本假设 '!$L$34</f>
        <v>594.49254986214407</v>
      </c>
      <c r="Q9" s="432">
        <f>Q6*'0基本假设 '!$L$34</f>
        <v>532.3027892222201</v>
      </c>
      <c r="R9" s="432">
        <f>R6*'0基本假设 '!$L$34</f>
        <v>469.1801821726973</v>
      </c>
      <c r="S9" s="432">
        <f>S6*'0基本假设 '!$L$34</f>
        <v>405.11073601743158</v>
      </c>
      <c r="T9" s="432">
        <f>T6*'0基本假设 '!$L$34</f>
        <v>340.08024816983692</v>
      </c>
      <c r="U9" s="432">
        <f>U6*'0基本假设 '!$L$34</f>
        <v>274.0743030045283</v>
      </c>
      <c r="V9" s="432">
        <f>V6*'0基本假设 '!$L$34</f>
        <v>207.07826866174008</v>
      </c>
      <c r="W9" s="432">
        <f>W6*'0基本假设 '!$L$34</f>
        <v>139.07729380381002</v>
      </c>
      <c r="X9" s="432">
        <f>X6*'0基本假设 '!$L$34</f>
        <v>70.056304323011005</v>
      </c>
    </row>
    <row r="10" spans="2:24" s="59" customFormat="1" ht="18" customHeight="1">
      <c r="B10" s="68">
        <v>1.5</v>
      </c>
      <c r="C10" s="68" t="s">
        <v>137</v>
      </c>
      <c r="D10" s="432">
        <f t="shared" si="17"/>
        <v>50618.005850237445</v>
      </c>
      <c r="E10" s="432">
        <f>SUM(E11:E13)</f>
        <v>0</v>
      </c>
      <c r="F10" s="432">
        <f>SUM(F11:F13)</f>
        <v>65.576325000000011</v>
      </c>
      <c r="G10" s="432">
        <f t="shared" ref="G10:M10" si="18">SUM(G11:G13)</f>
        <v>163.94081250000002</v>
      </c>
      <c r="H10" s="432">
        <f t="shared" si="18"/>
        <v>229.51713750000005</v>
      </c>
      <c r="I10" s="432">
        <f t="shared" si="18"/>
        <v>295.09346250000004</v>
      </c>
      <c r="J10" s="432">
        <f t="shared" si="18"/>
        <v>360.66978750000004</v>
      </c>
      <c r="K10" s="432">
        <f t="shared" si="18"/>
        <v>426.24611250000009</v>
      </c>
      <c r="L10" s="432">
        <f t="shared" si="18"/>
        <v>491.82243750000009</v>
      </c>
      <c r="M10" s="432">
        <f t="shared" si="18"/>
        <v>557.39876250000009</v>
      </c>
      <c r="N10" s="432">
        <f>SUM(N11:N13)</f>
        <v>622.9750875000002</v>
      </c>
      <c r="O10" s="432">
        <f>-PMT('0基本假设 '!$L$34,'0基本假设 '!$L$28,'附表7 银行贷款还本付息表'!$O$6)</f>
        <v>4740.4765925237443</v>
      </c>
      <c r="P10" s="432">
        <f>-PMT('0基本假设 '!$L$34,'0基本假设 '!$L$28,'附表7 银行贷款还本付息表'!$O$6)</f>
        <v>4740.4765925237443</v>
      </c>
      <c r="Q10" s="432">
        <f>-PMT('0基本假设 '!$L$34,'0基本假设 '!$L$28,'附表7 银行贷款还本付息表'!$O$6)</f>
        <v>4740.4765925237443</v>
      </c>
      <c r="R10" s="432">
        <f>-PMT('0基本假设 '!$L$34,'0基本假设 '!$L$28,'附表7 银行贷款还本付息表'!$O$6)</f>
        <v>4740.4765925237443</v>
      </c>
      <c r="S10" s="432">
        <f>-PMT('0基本假设 '!$L$34,'0基本假设 '!$L$28,'附表7 银行贷款还本付息表'!$O$6)</f>
        <v>4740.4765925237443</v>
      </c>
      <c r="T10" s="432">
        <f>-PMT('0基本假设 '!$L$34,'0基本假设 '!$L$28,'附表7 银行贷款还本付息表'!$O$6)</f>
        <v>4740.4765925237443</v>
      </c>
      <c r="U10" s="432">
        <f>-PMT('0基本假设 '!$L$34,'0基本假设 '!$L$28,'附表7 银行贷款还本付息表'!$O$6)</f>
        <v>4740.4765925237443</v>
      </c>
      <c r="V10" s="432">
        <f>-PMT('0基本假设 '!$L$34,'0基本假设 '!$L$28,'附表7 银行贷款还本付息表'!$O$6)</f>
        <v>4740.4765925237443</v>
      </c>
      <c r="W10" s="432">
        <f>-PMT('0基本假设 '!$L$34,'0基本假设 '!$L$28,'附表7 银行贷款还本付息表'!$O$6)</f>
        <v>4740.4765925237443</v>
      </c>
      <c r="X10" s="432">
        <f>-PMT('0基本假设 '!$L$34,'0基本假设 '!$L$28,'附表7 银行贷款还本付息表'!$O$6)</f>
        <v>4740.4765925237443</v>
      </c>
    </row>
    <row r="11" spans="2:24" s="59" customFormat="1" ht="18" customHeight="1">
      <c r="B11" s="68" t="s">
        <v>138</v>
      </c>
      <c r="C11" s="68" t="s">
        <v>139</v>
      </c>
      <c r="D11" s="432">
        <f t="shared" si="17"/>
        <v>43717.550000000025</v>
      </c>
      <c r="E11" s="432"/>
      <c r="F11" s="432"/>
      <c r="G11" s="432"/>
      <c r="H11" s="432"/>
      <c r="I11" s="432"/>
      <c r="J11" s="432"/>
      <c r="K11" s="432"/>
      <c r="L11" s="432"/>
      <c r="M11" s="432"/>
      <c r="N11" s="432"/>
      <c r="O11" s="432">
        <f>O10-O13</f>
        <v>4084.7133425237444</v>
      </c>
      <c r="P11" s="432">
        <f t="shared" ref="P11:X11" si="19">P10-P13</f>
        <v>4145.9840426616001</v>
      </c>
      <c r="Q11" s="432">
        <f t="shared" si="19"/>
        <v>4208.1738033015245</v>
      </c>
      <c r="R11" s="432">
        <f t="shared" si="19"/>
        <v>4271.2964103510467</v>
      </c>
      <c r="S11" s="432">
        <f t="shared" si="19"/>
        <v>4335.3658565063124</v>
      </c>
      <c r="T11" s="432">
        <f t="shared" si="19"/>
        <v>4400.3963443539078</v>
      </c>
      <c r="U11" s="432">
        <f t="shared" si="19"/>
        <v>4466.4022895192156</v>
      </c>
      <c r="V11" s="432">
        <f t="shared" si="19"/>
        <v>4533.398323862004</v>
      </c>
      <c r="W11" s="432">
        <f t="shared" si="19"/>
        <v>4601.3992987199344</v>
      </c>
      <c r="X11" s="432">
        <f t="shared" si="19"/>
        <v>4670.420288200733</v>
      </c>
    </row>
    <row r="12" spans="2:24" s="59" customFormat="1" ht="18" customHeight="1">
      <c r="B12" s="68" t="s">
        <v>140</v>
      </c>
      <c r="C12" s="68" t="s">
        <v>141</v>
      </c>
      <c r="D12" s="432">
        <f t="shared" si="17"/>
        <v>3213.2399250000008</v>
      </c>
      <c r="E12" s="432">
        <f>E8</f>
        <v>0</v>
      </c>
      <c r="F12" s="432">
        <f t="shared" ref="F12:N12" si="20">F8</f>
        <v>65.576325000000011</v>
      </c>
      <c r="G12" s="432">
        <f t="shared" si="20"/>
        <v>163.94081250000002</v>
      </c>
      <c r="H12" s="432">
        <f t="shared" si="20"/>
        <v>229.51713750000005</v>
      </c>
      <c r="I12" s="432">
        <f t="shared" si="20"/>
        <v>295.09346250000004</v>
      </c>
      <c r="J12" s="432">
        <f t="shared" si="20"/>
        <v>360.66978750000004</v>
      </c>
      <c r="K12" s="432">
        <f t="shared" si="20"/>
        <v>426.24611250000009</v>
      </c>
      <c r="L12" s="432">
        <f t="shared" si="20"/>
        <v>491.82243750000009</v>
      </c>
      <c r="M12" s="432">
        <f t="shared" si="20"/>
        <v>557.39876250000009</v>
      </c>
      <c r="N12" s="432">
        <f t="shared" si="20"/>
        <v>622.9750875000002</v>
      </c>
      <c r="O12" s="432"/>
      <c r="P12" s="432"/>
      <c r="Q12" s="432"/>
      <c r="R12" s="432"/>
      <c r="S12" s="432"/>
      <c r="T12" s="432"/>
      <c r="U12" s="432"/>
      <c r="V12" s="432"/>
      <c r="W12" s="432"/>
      <c r="X12" s="432"/>
    </row>
    <row r="13" spans="2:24" s="59" customFormat="1" ht="18" customHeight="1">
      <c r="B13" s="68" t="s">
        <v>142</v>
      </c>
      <c r="C13" s="68" t="s">
        <v>143</v>
      </c>
      <c r="D13" s="432">
        <f t="shared" si="17"/>
        <v>3687.215925237419</v>
      </c>
      <c r="E13" s="432"/>
      <c r="F13" s="432"/>
      <c r="G13" s="432"/>
      <c r="H13" s="432"/>
      <c r="I13" s="432"/>
      <c r="J13" s="432"/>
      <c r="K13" s="432"/>
      <c r="L13" s="432"/>
      <c r="M13" s="432"/>
      <c r="N13" s="432"/>
      <c r="O13" s="432">
        <f>O6*'0基本假设 '!$L$34</f>
        <v>655.7632500000002</v>
      </c>
      <c r="P13" s="432">
        <f>P6*'0基本假设 '!$L$34</f>
        <v>594.49254986214407</v>
      </c>
      <c r="Q13" s="432">
        <f>Q6*'0基本假设 '!$L$34</f>
        <v>532.3027892222201</v>
      </c>
      <c r="R13" s="432">
        <f>R6*'0基本假设 '!$L$34</f>
        <v>469.1801821726973</v>
      </c>
      <c r="S13" s="432">
        <f>S6*'0基本假设 '!$L$34</f>
        <v>405.11073601743158</v>
      </c>
      <c r="T13" s="432">
        <f>T6*'0基本假设 '!$L$34</f>
        <v>340.08024816983692</v>
      </c>
      <c r="U13" s="432">
        <f>U6*'0基本假设 '!$L$34</f>
        <v>274.0743030045283</v>
      </c>
      <c r="V13" s="432">
        <f>V6*'0基本假设 '!$L$34</f>
        <v>207.07826866174008</v>
      </c>
      <c r="W13" s="432">
        <f>W6*'0基本假设 '!$L$34</f>
        <v>139.07729380381002</v>
      </c>
      <c r="X13" s="432">
        <f>X6*'0基本假设 '!$L$34</f>
        <v>70.056304323011005</v>
      </c>
    </row>
    <row r="14" spans="2:24" s="59" customFormat="1" ht="18" customHeight="1">
      <c r="B14" s="68">
        <v>2</v>
      </c>
      <c r="C14" s="68" t="s">
        <v>144</v>
      </c>
      <c r="D14" s="432"/>
      <c r="E14" s="432">
        <f>E6+E7-E11</f>
        <v>0</v>
      </c>
      <c r="F14" s="432">
        <f t="shared" ref="F14:O14" si="21">F6+F7-F11</f>
        <v>8743.510000000002</v>
      </c>
      <c r="G14" s="432">
        <f t="shared" si="21"/>
        <v>13115.265000000003</v>
      </c>
      <c r="H14" s="432">
        <f t="shared" si="21"/>
        <v>17487.020000000004</v>
      </c>
      <c r="I14" s="432">
        <f t="shared" si="21"/>
        <v>21858.775000000005</v>
      </c>
      <c r="J14" s="432">
        <f t="shared" si="21"/>
        <v>26230.530000000006</v>
      </c>
      <c r="K14" s="432">
        <f t="shared" si="21"/>
        <v>30602.285000000007</v>
      </c>
      <c r="L14" s="432">
        <f t="shared" si="21"/>
        <v>34974.040000000008</v>
      </c>
      <c r="M14" s="432">
        <f t="shared" si="21"/>
        <v>39345.795000000013</v>
      </c>
      <c r="N14" s="432">
        <f t="shared" si="21"/>
        <v>43717.550000000017</v>
      </c>
      <c r="O14" s="432">
        <f t="shared" si="21"/>
        <v>39632.836657476277</v>
      </c>
      <c r="P14" s="432">
        <f t="shared" ref="P14:X14" si="22">P6+P7-P11</f>
        <v>35486.852614814678</v>
      </c>
      <c r="Q14" s="432">
        <f t="shared" si="22"/>
        <v>31278.678811513153</v>
      </c>
      <c r="R14" s="432">
        <f t="shared" si="22"/>
        <v>27007.382401162107</v>
      </c>
      <c r="S14" s="432">
        <f t="shared" si="22"/>
        <v>22672.016544655795</v>
      </c>
      <c r="T14" s="432">
        <f t="shared" si="22"/>
        <v>18271.620200301888</v>
      </c>
      <c r="U14" s="432">
        <f t="shared" si="22"/>
        <v>13805.217910782672</v>
      </c>
      <c r="V14" s="432">
        <f t="shared" si="22"/>
        <v>9271.8195869206684</v>
      </c>
      <c r="W14" s="432">
        <f t="shared" si="22"/>
        <v>4670.4202882007339</v>
      </c>
      <c r="X14" s="432">
        <f t="shared" si="22"/>
        <v>0</v>
      </c>
    </row>
    <row r="15" spans="2:24" s="59" customFormat="1" ht="18" customHeight="1">
      <c r="B15" s="68"/>
      <c r="C15" s="68"/>
      <c r="D15" s="432"/>
      <c r="E15" s="432"/>
      <c r="F15" s="432"/>
      <c r="G15" s="432"/>
      <c r="H15" s="432"/>
      <c r="I15" s="432"/>
      <c r="J15" s="432"/>
      <c r="K15" s="432"/>
      <c r="L15" s="432"/>
      <c r="M15" s="432"/>
      <c r="N15" s="432"/>
      <c r="O15" s="432"/>
      <c r="P15" s="432"/>
      <c r="Q15" s="432"/>
      <c r="R15" s="432"/>
      <c r="S15" s="432"/>
      <c r="T15" s="432"/>
      <c r="U15" s="432"/>
      <c r="V15" s="432"/>
      <c r="W15" s="432"/>
      <c r="X15" s="432"/>
    </row>
    <row r="16" spans="2:24" s="59" customFormat="1" ht="18" customHeight="1">
      <c r="B16" s="68"/>
      <c r="C16" s="68"/>
      <c r="D16" s="432"/>
      <c r="E16" s="432"/>
      <c r="F16" s="432"/>
      <c r="G16" s="432"/>
      <c r="H16" s="432"/>
      <c r="I16" s="432"/>
      <c r="J16" s="432"/>
      <c r="K16" s="432"/>
      <c r="L16" s="432"/>
      <c r="M16" s="432"/>
      <c r="N16" s="432"/>
      <c r="O16" s="432"/>
      <c r="P16" s="432"/>
      <c r="Q16" s="432"/>
      <c r="R16" s="432"/>
      <c r="S16" s="432"/>
      <c r="T16" s="432"/>
      <c r="U16" s="432"/>
      <c r="V16" s="432"/>
      <c r="W16" s="432"/>
      <c r="X16" s="432"/>
    </row>
    <row r="17" spans="1:24" s="59" customFormat="1" ht="18" customHeight="1">
      <c r="B17" s="66"/>
      <c r="C17" s="67"/>
      <c r="D17" s="430"/>
      <c r="E17" s="413"/>
      <c r="F17" s="413"/>
      <c r="G17" s="413"/>
      <c r="H17" s="413"/>
      <c r="I17" s="413"/>
      <c r="J17" s="413"/>
      <c r="K17" s="413"/>
      <c r="L17" s="413"/>
      <c r="M17" s="413"/>
      <c r="N17" s="413"/>
      <c r="O17" s="413"/>
      <c r="P17" s="413"/>
      <c r="Q17" s="413"/>
      <c r="R17" s="413"/>
      <c r="S17" s="413"/>
      <c r="T17" s="413"/>
      <c r="U17" s="413"/>
      <c r="V17" s="431"/>
      <c r="W17" s="431"/>
      <c r="X17" s="431"/>
    </row>
    <row r="18" spans="1:24" s="59" customFormat="1" ht="18" customHeight="1">
      <c r="B18" s="763" t="s">
        <v>92</v>
      </c>
      <c r="C18" s="764"/>
      <c r="D18" s="430"/>
      <c r="E18" s="413"/>
      <c r="F18" s="413"/>
      <c r="G18" s="413"/>
      <c r="H18" s="413"/>
      <c r="I18" s="413"/>
      <c r="J18" s="413"/>
      <c r="K18" s="413"/>
      <c r="L18" s="413"/>
      <c r="M18" s="413"/>
      <c r="N18" s="413"/>
      <c r="O18" s="413"/>
      <c r="P18" s="413"/>
      <c r="Q18" s="413"/>
      <c r="R18" s="413"/>
      <c r="S18" s="413"/>
      <c r="T18" s="413"/>
      <c r="U18" s="413"/>
      <c r="V18" s="431"/>
      <c r="W18" s="431"/>
      <c r="X18" s="431"/>
    </row>
    <row r="19" spans="1:24" s="59" customFormat="1" ht="18" customHeight="1">
      <c r="B19" s="64">
        <v>1.1000000000000001</v>
      </c>
      <c r="C19" s="68" t="s">
        <v>133</v>
      </c>
      <c r="D19" s="432">
        <f>D6</f>
        <v>0</v>
      </c>
      <c r="E19" s="432">
        <f t="shared" ref="E19:X19" si="23">E6</f>
        <v>0</v>
      </c>
      <c r="F19" s="432">
        <f t="shared" si="23"/>
        <v>0</v>
      </c>
      <c r="G19" s="432">
        <f t="shared" si="23"/>
        <v>8743.510000000002</v>
      </c>
      <c r="H19" s="432">
        <f t="shared" si="23"/>
        <v>13115.265000000003</v>
      </c>
      <c r="I19" s="432">
        <f t="shared" si="23"/>
        <v>17487.020000000004</v>
      </c>
      <c r="J19" s="432">
        <f t="shared" si="23"/>
        <v>21858.775000000005</v>
      </c>
      <c r="K19" s="432">
        <f t="shared" si="23"/>
        <v>26230.530000000006</v>
      </c>
      <c r="L19" s="432">
        <f t="shared" si="23"/>
        <v>30602.285000000007</v>
      </c>
      <c r="M19" s="432">
        <f t="shared" si="23"/>
        <v>34974.040000000008</v>
      </c>
      <c r="N19" s="432">
        <f t="shared" si="23"/>
        <v>39345.795000000013</v>
      </c>
      <c r="O19" s="432">
        <f t="shared" si="23"/>
        <v>43717.550000000017</v>
      </c>
      <c r="P19" s="432">
        <f t="shared" si="23"/>
        <v>39632.836657476277</v>
      </c>
      <c r="Q19" s="432">
        <f t="shared" si="23"/>
        <v>35486.852614814678</v>
      </c>
      <c r="R19" s="432">
        <f t="shared" si="23"/>
        <v>31278.678811513153</v>
      </c>
      <c r="S19" s="432">
        <f t="shared" si="23"/>
        <v>27007.382401162107</v>
      </c>
      <c r="T19" s="432">
        <f t="shared" si="23"/>
        <v>22672.016544655795</v>
      </c>
      <c r="U19" s="432">
        <f t="shared" si="23"/>
        <v>18271.620200301888</v>
      </c>
      <c r="V19" s="432">
        <f t="shared" si="23"/>
        <v>13805.217910782672</v>
      </c>
      <c r="W19" s="432">
        <f t="shared" si="23"/>
        <v>9271.8195869206684</v>
      </c>
      <c r="X19" s="432">
        <f t="shared" si="23"/>
        <v>4670.4202882007339</v>
      </c>
    </row>
    <row r="20" spans="1:24" s="59" customFormat="1" ht="18" customHeight="1">
      <c r="B20" s="64">
        <v>1.2</v>
      </c>
      <c r="C20" s="68" t="s">
        <v>134</v>
      </c>
      <c r="D20" s="432">
        <f t="shared" ref="D20:X20" si="24">D7</f>
        <v>43717.550000000017</v>
      </c>
      <c r="E20" s="432">
        <f t="shared" si="24"/>
        <v>0</v>
      </c>
      <c r="F20" s="432">
        <f t="shared" si="24"/>
        <v>8743.510000000002</v>
      </c>
      <c r="G20" s="432">
        <f t="shared" si="24"/>
        <v>4371.755000000001</v>
      </c>
      <c r="H20" s="432">
        <f t="shared" si="24"/>
        <v>4371.755000000001</v>
      </c>
      <c r="I20" s="432">
        <f t="shared" si="24"/>
        <v>4371.755000000001</v>
      </c>
      <c r="J20" s="432">
        <f t="shared" si="24"/>
        <v>4371.755000000001</v>
      </c>
      <c r="K20" s="432">
        <f t="shared" si="24"/>
        <v>4371.755000000001</v>
      </c>
      <c r="L20" s="432">
        <f t="shared" si="24"/>
        <v>4371.755000000001</v>
      </c>
      <c r="M20" s="432">
        <f t="shared" si="24"/>
        <v>4371.755000000001</v>
      </c>
      <c r="N20" s="432">
        <f t="shared" si="24"/>
        <v>4371.755000000001</v>
      </c>
      <c r="O20" s="432">
        <f t="shared" si="24"/>
        <v>0</v>
      </c>
      <c r="P20" s="432">
        <f t="shared" si="24"/>
        <v>0</v>
      </c>
      <c r="Q20" s="432">
        <f t="shared" si="24"/>
        <v>0</v>
      </c>
      <c r="R20" s="432">
        <f t="shared" si="24"/>
        <v>0</v>
      </c>
      <c r="S20" s="432">
        <f t="shared" si="24"/>
        <v>0</v>
      </c>
      <c r="T20" s="432">
        <f t="shared" si="24"/>
        <v>0</v>
      </c>
      <c r="U20" s="432">
        <f t="shared" si="24"/>
        <v>0</v>
      </c>
      <c r="V20" s="432">
        <f t="shared" si="24"/>
        <v>0</v>
      </c>
      <c r="W20" s="432">
        <f t="shared" si="24"/>
        <v>0</v>
      </c>
      <c r="X20" s="432">
        <f t="shared" si="24"/>
        <v>0</v>
      </c>
    </row>
    <row r="21" spans="1:24" s="59" customFormat="1" ht="18" customHeight="1">
      <c r="B21" s="64">
        <v>1.3</v>
      </c>
      <c r="C21" s="68" t="s">
        <v>135</v>
      </c>
      <c r="D21" s="432">
        <f t="shared" ref="D21:X21" si="25">D8</f>
        <v>3213.2399250000008</v>
      </c>
      <c r="E21" s="432">
        <f t="shared" si="25"/>
        <v>0</v>
      </c>
      <c r="F21" s="432">
        <f t="shared" si="25"/>
        <v>65.576325000000011</v>
      </c>
      <c r="G21" s="432">
        <f t="shared" si="25"/>
        <v>163.94081250000002</v>
      </c>
      <c r="H21" s="432">
        <f t="shared" si="25"/>
        <v>229.51713750000005</v>
      </c>
      <c r="I21" s="432">
        <f t="shared" si="25"/>
        <v>295.09346250000004</v>
      </c>
      <c r="J21" s="432">
        <f t="shared" si="25"/>
        <v>360.66978750000004</v>
      </c>
      <c r="K21" s="432">
        <f t="shared" si="25"/>
        <v>426.24611250000009</v>
      </c>
      <c r="L21" s="432">
        <f t="shared" si="25"/>
        <v>491.82243750000009</v>
      </c>
      <c r="M21" s="432">
        <f t="shared" si="25"/>
        <v>557.39876250000009</v>
      </c>
      <c r="N21" s="432">
        <f t="shared" si="25"/>
        <v>622.9750875000002</v>
      </c>
      <c r="O21" s="432">
        <f t="shared" si="25"/>
        <v>0</v>
      </c>
      <c r="P21" s="432">
        <f t="shared" si="25"/>
        <v>0</v>
      </c>
      <c r="Q21" s="432">
        <f t="shared" si="25"/>
        <v>0</v>
      </c>
      <c r="R21" s="432">
        <f t="shared" si="25"/>
        <v>0</v>
      </c>
      <c r="S21" s="432">
        <f t="shared" si="25"/>
        <v>0</v>
      </c>
      <c r="T21" s="432">
        <f t="shared" si="25"/>
        <v>0</v>
      </c>
      <c r="U21" s="432">
        <f t="shared" si="25"/>
        <v>0</v>
      </c>
      <c r="V21" s="432">
        <f t="shared" si="25"/>
        <v>0</v>
      </c>
      <c r="W21" s="432">
        <f t="shared" si="25"/>
        <v>0</v>
      </c>
      <c r="X21" s="432">
        <f t="shared" si="25"/>
        <v>0</v>
      </c>
    </row>
    <row r="22" spans="1:24" s="59" customFormat="1" ht="18" customHeight="1">
      <c r="B22" s="64">
        <v>1.4</v>
      </c>
      <c r="C22" s="68" t="s">
        <v>136</v>
      </c>
      <c r="D22" s="432">
        <f t="shared" ref="D22:X22" si="26">D9</f>
        <v>3687.215925237419</v>
      </c>
      <c r="E22" s="432">
        <f t="shared" si="26"/>
        <v>0</v>
      </c>
      <c r="F22" s="432">
        <f t="shared" si="26"/>
        <v>0</v>
      </c>
      <c r="G22" s="432">
        <f t="shared" si="26"/>
        <v>0</v>
      </c>
      <c r="H22" s="432">
        <f t="shared" si="26"/>
        <v>0</v>
      </c>
      <c r="I22" s="432">
        <f t="shared" si="26"/>
        <v>0</v>
      </c>
      <c r="J22" s="432">
        <f t="shared" si="26"/>
        <v>0</v>
      </c>
      <c r="K22" s="432">
        <f t="shared" si="26"/>
        <v>0</v>
      </c>
      <c r="L22" s="432">
        <f t="shared" si="26"/>
        <v>0</v>
      </c>
      <c r="M22" s="432">
        <f t="shared" si="26"/>
        <v>0</v>
      </c>
      <c r="N22" s="432">
        <f t="shared" si="26"/>
        <v>0</v>
      </c>
      <c r="O22" s="432">
        <f t="shared" si="26"/>
        <v>655.7632500000002</v>
      </c>
      <c r="P22" s="432">
        <f t="shared" si="26"/>
        <v>594.49254986214407</v>
      </c>
      <c r="Q22" s="432">
        <f t="shared" si="26"/>
        <v>532.3027892222201</v>
      </c>
      <c r="R22" s="432">
        <f t="shared" si="26"/>
        <v>469.1801821726973</v>
      </c>
      <c r="S22" s="432">
        <f t="shared" si="26"/>
        <v>405.11073601743158</v>
      </c>
      <c r="T22" s="432">
        <f t="shared" si="26"/>
        <v>340.08024816983692</v>
      </c>
      <c r="U22" s="432">
        <f t="shared" si="26"/>
        <v>274.0743030045283</v>
      </c>
      <c r="V22" s="432">
        <f t="shared" si="26"/>
        <v>207.07826866174008</v>
      </c>
      <c r="W22" s="432">
        <f t="shared" si="26"/>
        <v>139.07729380381002</v>
      </c>
      <c r="X22" s="432">
        <f t="shared" si="26"/>
        <v>70.056304323011005</v>
      </c>
    </row>
    <row r="23" spans="1:24" s="60" customFormat="1" ht="18" customHeight="1">
      <c r="B23" s="64">
        <v>1.5</v>
      </c>
      <c r="C23" s="68" t="s">
        <v>137</v>
      </c>
      <c r="D23" s="432">
        <f t="shared" ref="D23:X23" si="27">D10</f>
        <v>50618.005850237445</v>
      </c>
      <c r="E23" s="432">
        <f t="shared" si="27"/>
        <v>0</v>
      </c>
      <c r="F23" s="432">
        <f t="shared" si="27"/>
        <v>65.576325000000011</v>
      </c>
      <c r="G23" s="432">
        <f t="shared" si="27"/>
        <v>163.94081250000002</v>
      </c>
      <c r="H23" s="432">
        <f t="shared" si="27"/>
        <v>229.51713750000005</v>
      </c>
      <c r="I23" s="432">
        <f t="shared" si="27"/>
        <v>295.09346250000004</v>
      </c>
      <c r="J23" s="432">
        <f t="shared" si="27"/>
        <v>360.66978750000004</v>
      </c>
      <c r="K23" s="432">
        <f t="shared" si="27"/>
        <v>426.24611250000009</v>
      </c>
      <c r="L23" s="432">
        <f t="shared" si="27"/>
        <v>491.82243750000009</v>
      </c>
      <c r="M23" s="432">
        <f t="shared" si="27"/>
        <v>557.39876250000009</v>
      </c>
      <c r="N23" s="432">
        <f t="shared" si="27"/>
        <v>622.9750875000002</v>
      </c>
      <c r="O23" s="432">
        <f t="shared" si="27"/>
        <v>4740.4765925237443</v>
      </c>
      <c r="P23" s="432">
        <f t="shared" si="27"/>
        <v>4740.4765925237443</v>
      </c>
      <c r="Q23" s="432">
        <f t="shared" si="27"/>
        <v>4740.4765925237443</v>
      </c>
      <c r="R23" s="432">
        <f t="shared" si="27"/>
        <v>4740.4765925237443</v>
      </c>
      <c r="S23" s="432">
        <f t="shared" si="27"/>
        <v>4740.4765925237443</v>
      </c>
      <c r="T23" s="432">
        <f t="shared" si="27"/>
        <v>4740.4765925237443</v>
      </c>
      <c r="U23" s="432">
        <f t="shared" si="27"/>
        <v>4740.4765925237443</v>
      </c>
      <c r="V23" s="432">
        <f t="shared" si="27"/>
        <v>4740.4765925237443</v>
      </c>
      <c r="W23" s="432">
        <f t="shared" si="27"/>
        <v>4740.4765925237443</v>
      </c>
      <c r="X23" s="432">
        <f t="shared" si="27"/>
        <v>4740.4765925237443</v>
      </c>
    </row>
    <row r="24" spans="1:24" s="60" customFormat="1" ht="18" customHeight="1">
      <c r="B24" s="64" t="s">
        <v>138</v>
      </c>
      <c r="C24" s="68" t="s">
        <v>139</v>
      </c>
      <c r="D24" s="432">
        <f t="shared" ref="D24:X24" si="28">D11</f>
        <v>43717.550000000025</v>
      </c>
      <c r="E24" s="432">
        <f t="shared" si="28"/>
        <v>0</v>
      </c>
      <c r="F24" s="432">
        <f t="shared" si="28"/>
        <v>0</v>
      </c>
      <c r="G24" s="432">
        <f t="shared" si="28"/>
        <v>0</v>
      </c>
      <c r="H24" s="432">
        <f t="shared" si="28"/>
        <v>0</v>
      </c>
      <c r="I24" s="432">
        <f t="shared" si="28"/>
        <v>0</v>
      </c>
      <c r="J24" s="432">
        <f t="shared" si="28"/>
        <v>0</v>
      </c>
      <c r="K24" s="432">
        <f t="shared" si="28"/>
        <v>0</v>
      </c>
      <c r="L24" s="432">
        <f t="shared" si="28"/>
        <v>0</v>
      </c>
      <c r="M24" s="432">
        <f t="shared" si="28"/>
        <v>0</v>
      </c>
      <c r="N24" s="432">
        <f t="shared" si="28"/>
        <v>0</v>
      </c>
      <c r="O24" s="432">
        <f t="shared" si="28"/>
        <v>4084.7133425237444</v>
      </c>
      <c r="P24" s="432">
        <f t="shared" si="28"/>
        <v>4145.9840426616001</v>
      </c>
      <c r="Q24" s="432">
        <f t="shared" si="28"/>
        <v>4208.1738033015245</v>
      </c>
      <c r="R24" s="432">
        <f t="shared" si="28"/>
        <v>4271.2964103510467</v>
      </c>
      <c r="S24" s="432">
        <f t="shared" si="28"/>
        <v>4335.3658565063124</v>
      </c>
      <c r="T24" s="432">
        <f t="shared" si="28"/>
        <v>4400.3963443539078</v>
      </c>
      <c r="U24" s="432">
        <f t="shared" si="28"/>
        <v>4466.4022895192156</v>
      </c>
      <c r="V24" s="432">
        <f t="shared" si="28"/>
        <v>4533.398323862004</v>
      </c>
      <c r="W24" s="432">
        <f t="shared" si="28"/>
        <v>4601.3992987199344</v>
      </c>
      <c r="X24" s="432">
        <f t="shared" si="28"/>
        <v>4670.420288200733</v>
      </c>
    </row>
    <row r="25" spans="1:24" s="59" customFormat="1" ht="18" customHeight="1">
      <c r="B25" s="64" t="s">
        <v>140</v>
      </c>
      <c r="C25" s="68" t="s">
        <v>141</v>
      </c>
      <c r="D25" s="432">
        <f t="shared" ref="D25:X25" si="29">D12</f>
        <v>3213.2399250000008</v>
      </c>
      <c r="E25" s="432">
        <f t="shared" si="29"/>
        <v>0</v>
      </c>
      <c r="F25" s="432">
        <f t="shared" si="29"/>
        <v>65.576325000000011</v>
      </c>
      <c r="G25" s="432">
        <f t="shared" si="29"/>
        <v>163.94081250000002</v>
      </c>
      <c r="H25" s="432">
        <f t="shared" si="29"/>
        <v>229.51713750000005</v>
      </c>
      <c r="I25" s="432">
        <f t="shared" si="29"/>
        <v>295.09346250000004</v>
      </c>
      <c r="J25" s="432">
        <f t="shared" si="29"/>
        <v>360.66978750000004</v>
      </c>
      <c r="K25" s="432">
        <f t="shared" si="29"/>
        <v>426.24611250000009</v>
      </c>
      <c r="L25" s="432">
        <f t="shared" si="29"/>
        <v>491.82243750000009</v>
      </c>
      <c r="M25" s="432">
        <f t="shared" si="29"/>
        <v>557.39876250000009</v>
      </c>
      <c r="N25" s="432">
        <f t="shared" si="29"/>
        <v>622.9750875000002</v>
      </c>
      <c r="O25" s="432">
        <f t="shared" si="29"/>
        <v>0</v>
      </c>
      <c r="P25" s="432">
        <f t="shared" si="29"/>
        <v>0</v>
      </c>
      <c r="Q25" s="432">
        <f t="shared" si="29"/>
        <v>0</v>
      </c>
      <c r="R25" s="432">
        <f t="shared" si="29"/>
        <v>0</v>
      </c>
      <c r="S25" s="432">
        <f t="shared" si="29"/>
        <v>0</v>
      </c>
      <c r="T25" s="432">
        <f t="shared" si="29"/>
        <v>0</v>
      </c>
      <c r="U25" s="432">
        <f t="shared" si="29"/>
        <v>0</v>
      </c>
      <c r="V25" s="432">
        <f t="shared" si="29"/>
        <v>0</v>
      </c>
      <c r="W25" s="432">
        <f t="shared" si="29"/>
        <v>0</v>
      </c>
      <c r="X25" s="432">
        <f t="shared" si="29"/>
        <v>0</v>
      </c>
    </row>
    <row r="26" spans="1:24" s="60" customFormat="1" ht="18" customHeight="1">
      <c r="B26" s="64" t="s">
        <v>142</v>
      </c>
      <c r="C26" s="68" t="s">
        <v>143</v>
      </c>
      <c r="D26" s="432">
        <f t="shared" ref="D26:X26" si="30">D13</f>
        <v>3687.215925237419</v>
      </c>
      <c r="E26" s="432">
        <f t="shared" si="30"/>
        <v>0</v>
      </c>
      <c r="F26" s="432">
        <f t="shared" si="30"/>
        <v>0</v>
      </c>
      <c r="G26" s="432">
        <f t="shared" si="30"/>
        <v>0</v>
      </c>
      <c r="H26" s="432">
        <f t="shared" si="30"/>
        <v>0</v>
      </c>
      <c r="I26" s="432">
        <f t="shared" si="30"/>
        <v>0</v>
      </c>
      <c r="J26" s="432">
        <f t="shared" si="30"/>
        <v>0</v>
      </c>
      <c r="K26" s="432">
        <f t="shared" si="30"/>
        <v>0</v>
      </c>
      <c r="L26" s="432">
        <f t="shared" si="30"/>
        <v>0</v>
      </c>
      <c r="M26" s="432">
        <f t="shared" si="30"/>
        <v>0</v>
      </c>
      <c r="N26" s="432">
        <f t="shared" si="30"/>
        <v>0</v>
      </c>
      <c r="O26" s="432">
        <f t="shared" si="30"/>
        <v>655.7632500000002</v>
      </c>
      <c r="P26" s="432">
        <f>P13</f>
        <v>594.49254986214407</v>
      </c>
      <c r="Q26" s="432">
        <f t="shared" si="30"/>
        <v>532.3027892222201</v>
      </c>
      <c r="R26" s="432">
        <f t="shared" si="30"/>
        <v>469.1801821726973</v>
      </c>
      <c r="S26" s="432">
        <f t="shared" si="30"/>
        <v>405.11073601743158</v>
      </c>
      <c r="T26" s="432">
        <f t="shared" si="30"/>
        <v>340.08024816983692</v>
      </c>
      <c r="U26" s="432">
        <f t="shared" si="30"/>
        <v>274.0743030045283</v>
      </c>
      <c r="V26" s="432">
        <f t="shared" si="30"/>
        <v>207.07826866174008</v>
      </c>
      <c r="W26" s="432">
        <f t="shared" si="30"/>
        <v>139.07729380381002</v>
      </c>
      <c r="X26" s="432">
        <f t="shared" si="30"/>
        <v>70.056304323011005</v>
      </c>
    </row>
    <row r="27" spans="1:24" s="59" customFormat="1" ht="18" customHeight="1">
      <c r="B27" s="65">
        <v>2</v>
      </c>
      <c r="C27" s="68" t="s">
        <v>144</v>
      </c>
      <c r="D27" s="432">
        <f t="shared" ref="D27:X27" si="31">D14</f>
        <v>0</v>
      </c>
      <c r="E27" s="432">
        <f t="shared" si="31"/>
        <v>0</v>
      </c>
      <c r="F27" s="432">
        <f t="shared" si="31"/>
        <v>8743.510000000002</v>
      </c>
      <c r="G27" s="432">
        <f t="shared" si="31"/>
        <v>13115.265000000003</v>
      </c>
      <c r="H27" s="432">
        <f t="shared" si="31"/>
        <v>17487.020000000004</v>
      </c>
      <c r="I27" s="432">
        <f t="shared" si="31"/>
        <v>21858.775000000005</v>
      </c>
      <c r="J27" s="432">
        <f t="shared" si="31"/>
        <v>26230.530000000006</v>
      </c>
      <c r="K27" s="432">
        <f t="shared" si="31"/>
        <v>30602.285000000007</v>
      </c>
      <c r="L27" s="432">
        <f t="shared" si="31"/>
        <v>34974.040000000008</v>
      </c>
      <c r="M27" s="432">
        <f t="shared" si="31"/>
        <v>39345.795000000013</v>
      </c>
      <c r="N27" s="432">
        <f t="shared" si="31"/>
        <v>43717.550000000017</v>
      </c>
      <c r="O27" s="432">
        <f t="shared" si="31"/>
        <v>39632.836657476277</v>
      </c>
      <c r="P27" s="432">
        <f t="shared" si="31"/>
        <v>35486.852614814678</v>
      </c>
      <c r="Q27" s="432">
        <f t="shared" si="31"/>
        <v>31278.678811513153</v>
      </c>
      <c r="R27" s="432">
        <f t="shared" si="31"/>
        <v>27007.382401162107</v>
      </c>
      <c r="S27" s="432">
        <f t="shared" si="31"/>
        <v>22672.016544655795</v>
      </c>
      <c r="T27" s="432">
        <f t="shared" si="31"/>
        <v>18271.620200301888</v>
      </c>
      <c r="U27" s="432">
        <f t="shared" si="31"/>
        <v>13805.217910782672</v>
      </c>
      <c r="V27" s="432">
        <f t="shared" si="31"/>
        <v>9271.8195869206684</v>
      </c>
      <c r="W27" s="432">
        <f t="shared" si="31"/>
        <v>4670.4202882007339</v>
      </c>
      <c r="X27" s="432">
        <f t="shared" si="31"/>
        <v>0</v>
      </c>
    </row>
    <row r="28" spans="1:24" s="59" customFormat="1" ht="18" customHeight="1">
      <c r="B28" s="69"/>
      <c r="C28" s="70"/>
      <c r="D28" s="433"/>
      <c r="E28" s="433"/>
      <c r="F28" s="434"/>
      <c r="G28" s="434"/>
      <c r="H28" s="434"/>
      <c r="I28" s="434"/>
      <c r="J28" s="434"/>
      <c r="K28" s="434"/>
      <c r="L28" s="434"/>
      <c r="M28" s="434"/>
      <c r="N28" s="433"/>
      <c r="O28" s="433"/>
      <c r="P28" s="433"/>
      <c r="Q28" s="433"/>
      <c r="R28" s="433"/>
      <c r="S28" s="433"/>
      <c r="T28" s="435"/>
      <c r="U28" s="435"/>
      <c r="V28" s="435"/>
      <c r="W28" s="435"/>
      <c r="X28" s="435"/>
    </row>
    <row r="29" spans="1:24" s="59" customFormat="1" ht="18" hidden="1" customHeight="1">
      <c r="A29" s="71"/>
      <c r="B29" s="71"/>
      <c r="C29" s="72" t="s">
        <v>145</v>
      </c>
      <c r="D29" s="71"/>
      <c r="E29" s="71"/>
      <c r="F29" s="71"/>
      <c r="G29" s="71"/>
      <c r="H29" s="71"/>
      <c r="I29" s="71"/>
      <c r="J29" s="71"/>
      <c r="K29" s="71"/>
      <c r="L29" s="71"/>
      <c r="M29" s="71"/>
      <c r="N29" s="71"/>
      <c r="O29" s="71">
        <f ca="1">'附表11 财务计划现金流量表'!O34</f>
        <v>-19622.722228885963</v>
      </c>
      <c r="P29" s="71">
        <f ca="1">'附表11 财务计划现金流量表'!P34</f>
        <v>474.24637581641912</v>
      </c>
      <c r="Q29" s="71">
        <f ca="1">'附表11 财务计划现金流量表'!Q34</f>
        <v>480.4653518804115</v>
      </c>
      <c r="R29" s="71">
        <f ca="1">'附表11 财务计划现金流量表'!R34</f>
        <v>486.77761258536407</v>
      </c>
      <c r="S29" s="71"/>
      <c r="T29" s="71" t="e">
        <f>'附表11 财务计划现金流量表'!#REF!</f>
        <v>#REF!</v>
      </c>
      <c r="U29" s="71" t="e">
        <f>'附表11 财务计划现金流量表'!#REF!</f>
        <v>#REF!</v>
      </c>
    </row>
    <row r="30" spans="1:24" s="59" customFormat="1" ht="18" customHeight="1">
      <c r="A30" s="71"/>
      <c r="B30" s="71"/>
      <c r="C30" s="72"/>
      <c r="D30" s="71"/>
      <c r="E30" s="71"/>
      <c r="F30" s="71"/>
      <c r="G30" s="71"/>
      <c r="H30" s="71"/>
      <c r="I30" s="71"/>
      <c r="J30" s="71"/>
      <c r="K30" s="71"/>
      <c r="L30" s="71"/>
      <c r="M30" s="71"/>
      <c r="N30" s="71"/>
      <c r="O30" s="71"/>
      <c r="P30" s="71"/>
      <c r="Q30" s="71"/>
      <c r="R30" s="71"/>
      <c r="S30" s="71"/>
      <c r="T30" s="71"/>
      <c r="U30" s="71"/>
    </row>
    <row r="31" spans="1:24" ht="25" customHeight="1">
      <c r="A31" s="71"/>
      <c r="B31" s="71"/>
      <c r="C31" s="65" t="s">
        <v>413</v>
      </c>
      <c r="D31" s="73">
        <f ca="1">附表9利润表!C50/'附表7 银行贷款还本付息表'!D23</f>
        <v>2.1203097253386547</v>
      </c>
      <c r="E31" s="73"/>
      <c r="F31" s="73"/>
      <c r="G31" s="73"/>
      <c r="H31" s="73"/>
      <c r="I31" s="73">
        <f>附表9利润表!I50/'附表7 银行贷款还本付息表'!I23</f>
        <v>29.747610799747889</v>
      </c>
      <c r="J31" s="73">
        <f>附表9利润表!J50/'附表7 银行贷款还本付息表'!J23</f>
        <v>33.816971775047833</v>
      </c>
      <c r="K31" s="73">
        <f>附表9利润表!K50/'附表7 银行贷款还本付息表'!K23</f>
        <v>15.247925818912893</v>
      </c>
      <c r="L31" s="73">
        <f>附表9利润表!L50/'附表7 银行贷款还本付息表'!L23</f>
        <v>8.5811716062669454</v>
      </c>
      <c r="M31" s="73">
        <f>附表9利润表!M50/'附表7 银行贷款还本付息表'!M23</f>
        <v>5.5273437245924999</v>
      </c>
      <c r="N31" s="74">
        <f>附表9利润表!M50/'附表7 银行贷款还本付息表'!N23</f>
        <v>4.9455180693722358</v>
      </c>
      <c r="O31" s="74">
        <f ca="1">附表9利润表!N50/'附表7 银行贷款还本付息表'!O23</f>
        <v>0.40954877217659746</v>
      </c>
      <c r="P31" s="74">
        <f ca="1">附表9利润表!O50/'附表7 银行贷款还本付息表'!P23</f>
        <v>0.40954877217659741</v>
      </c>
      <c r="Q31" s="73">
        <f ca="1">附表9利润表!P50/'附表7 银行贷款还本付息表'!Q23</f>
        <v>0.40954877217659746</v>
      </c>
      <c r="R31" s="73">
        <f ca="1">附表9利润表!Q50/'附表7 银行贷款还本付息表'!R23</f>
        <v>0.40954877217659741</v>
      </c>
      <c r="S31" s="74">
        <f ca="1">附表9利润表!R50/'附表7 银行贷款还本付息表'!S23</f>
        <v>0.40954877217659741</v>
      </c>
      <c r="T31" s="74">
        <f ca="1">附表9利润表!S50/'附表7 银行贷款还本付息表'!T23</f>
        <v>0.40954877217659746</v>
      </c>
      <c r="U31" s="74">
        <f ca="1">附表9利润表!T50/'附表7 银行贷款还本付息表'!U23</f>
        <v>0.40954877217659741</v>
      </c>
      <c r="V31" s="74">
        <f ca="1">附表9利润表!U50/'附表7 银行贷款还本付息表'!V23</f>
        <v>0.40954877217659746</v>
      </c>
      <c r="W31" s="74">
        <f ca="1">附表9利润表!V50/'附表7 银行贷款还本付息表'!W23</f>
        <v>0.40954877217659741</v>
      </c>
      <c r="X31" s="74">
        <f ca="1">附表9利润表!W50/'附表7 银行贷款还本付息表'!X23</f>
        <v>5.0225016967823164</v>
      </c>
    </row>
    <row r="32" spans="1:24" ht="25" customHeight="1">
      <c r="A32" s="71"/>
      <c r="B32" s="71"/>
      <c r="C32" s="65" t="s">
        <v>412</v>
      </c>
      <c r="D32" s="73">
        <f ca="1">附表9利润表!C19/D26</f>
        <v>0.15265587042373011</v>
      </c>
      <c r="E32" s="73" t="e">
        <f ca="1">附表9利润表!D19/E26</f>
        <v>#DIV/0!</v>
      </c>
      <c r="F32" s="73" t="e">
        <f>附表9利润表!E19/F26</f>
        <v>#DIV/0!</v>
      </c>
      <c r="G32" s="73" t="e">
        <f>附表9利润表!F19/G26</f>
        <v>#DIV/0!</v>
      </c>
      <c r="H32" s="73" t="e">
        <f>附表9利润表!G19/H26</f>
        <v>#DIV/0!</v>
      </c>
      <c r="I32" s="73" t="e">
        <f>附表9利润表!H19/I26</f>
        <v>#DIV/0!</v>
      </c>
      <c r="J32" s="73" t="e">
        <f>附表9利润表!I19/J26</f>
        <v>#DIV/0!</v>
      </c>
      <c r="K32" s="73" t="e">
        <f>附表9利润表!J19/K26</f>
        <v>#DIV/0!</v>
      </c>
      <c r="L32" s="73" t="e">
        <f>附表9利润表!K19/L26</f>
        <v>#DIV/0!</v>
      </c>
      <c r="M32" s="73" t="e">
        <f>附表9利润表!L19/M26</f>
        <v>#DIV/0!</v>
      </c>
      <c r="N32" s="73" t="e">
        <f>附表9利润表!M19/N26</f>
        <v>#DIV/0!</v>
      </c>
      <c r="O32" s="73">
        <f>附表9利润表!N19/O26</f>
        <v>2.3852794387089586</v>
      </c>
      <c r="P32" s="73">
        <f>附表9利润表!O19/P26</f>
        <v>2.6311155577116612</v>
      </c>
      <c r="Q32" s="73">
        <f>附表9利润表!P19/Q26</f>
        <v>2.9385128700367682</v>
      </c>
      <c r="R32" s="73">
        <f>附表9利润表!Q19/R26</f>
        <v>3.3338547882446896</v>
      </c>
      <c r="S32" s="73">
        <f>附表9利润表!R19/S26</f>
        <v>3.8611136605835528</v>
      </c>
      <c r="T32" s="73">
        <f>附表9利润表!S19/T26</f>
        <v>4.5994397066683161</v>
      </c>
      <c r="U32" s="73">
        <f>附表9利润表!T19/U26</f>
        <v>5.7071333566799911</v>
      </c>
      <c r="V32" s="73">
        <f>附表9利润表!U19/V26</f>
        <v>7.5535622689652202</v>
      </c>
      <c r="W32" s="73">
        <f>附表9利润表!V19/W26</f>
        <v>11.246829400437415</v>
      </c>
      <c r="X32" s="73">
        <f>附表9利润表!W19/X26</f>
        <v>19.16363978051842</v>
      </c>
    </row>
    <row r="33" spans="1:19" ht="18" customHeight="1">
      <c r="A33" s="71"/>
      <c r="B33" s="71"/>
      <c r="C33" s="71"/>
      <c r="D33" s="71"/>
      <c r="E33" s="71"/>
      <c r="F33" s="71"/>
      <c r="G33" s="71"/>
      <c r="H33" s="71"/>
      <c r="I33" s="71"/>
      <c r="J33" s="71"/>
      <c r="K33" s="71"/>
      <c r="L33" s="71"/>
      <c r="M33" s="71"/>
      <c r="N33" s="71"/>
      <c r="O33" s="71"/>
      <c r="P33" s="71"/>
      <c r="Q33" s="71"/>
      <c r="R33" s="71"/>
      <c r="S33" s="71"/>
    </row>
    <row r="34" spans="1:19" ht="18" customHeight="1">
      <c r="B34" s="469" t="s">
        <v>554</v>
      </c>
      <c r="C34" s="470"/>
      <c r="D34"/>
    </row>
    <row r="36" spans="1:19" ht="18" customHeight="1">
      <c r="E36" s="75"/>
    </row>
    <row r="54" spans="5:5" ht="18" customHeight="1">
      <c r="E54" s="63"/>
    </row>
    <row r="55" spans="5:5" ht="18" customHeight="1">
      <c r="E55" s="61"/>
    </row>
    <row r="56" spans="5:5" ht="18" customHeight="1">
      <c r="E56" s="61"/>
    </row>
    <row r="57" spans="5:5" ht="18" customHeight="1">
      <c r="E57" s="61"/>
    </row>
    <row r="58" spans="5:5" ht="18" customHeight="1">
      <c r="E58" s="61"/>
    </row>
  </sheetData>
  <mergeCells count="7">
    <mergeCell ref="B2:X2"/>
    <mergeCell ref="B18:C18"/>
    <mergeCell ref="B3:B4"/>
    <mergeCell ref="C3:C4"/>
    <mergeCell ref="E3:N3"/>
    <mergeCell ref="P3:R3"/>
    <mergeCell ref="D3:D4"/>
  </mergeCells>
  <phoneticPr fontId="27" type="noConversion"/>
  <hyperlinks>
    <hyperlink ref="B34" location="目录!A1" display="点击返回目录"/>
  </hyperlinks>
  <pageMargins left="0.69930555555555596" right="0.69930555555555596" top="0.75" bottom="0.75" header="0.3" footer="0.3"/>
  <pageSetup paperSize="8" scale="4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17"/>
  <sheetViews>
    <sheetView zoomScale="80" zoomScaleNormal="80" zoomScaleSheetLayoutView="80" workbookViewId="0">
      <selection activeCell="X4" sqref="X4"/>
    </sheetView>
  </sheetViews>
  <sheetFormatPr defaultColWidth="9" defaultRowHeight="18" customHeight="1"/>
  <cols>
    <col min="1" max="1" width="1" style="52" customWidth="1"/>
    <col min="2" max="2" width="5.453125" style="52" customWidth="1"/>
    <col min="3" max="3" width="15.453125" style="52" customWidth="1"/>
    <col min="4" max="4" width="10.6328125" style="52" customWidth="1"/>
    <col min="5" max="7" width="8.6328125" style="52" customWidth="1"/>
    <col min="8" max="8" width="10.26953125" style="52" bestFit="1" customWidth="1"/>
    <col min="9" max="9" width="8.6328125" style="52" customWidth="1"/>
    <col min="10" max="11" width="10.26953125" style="52" bestFit="1" customWidth="1"/>
    <col min="12" max="23" width="8.6328125" style="52" customWidth="1"/>
    <col min="24" max="24" width="10.26953125" style="52" bestFit="1" customWidth="1"/>
    <col min="25" max="16384" width="9" style="52"/>
  </cols>
  <sheetData>
    <row r="1" spans="2:24" ht="30" customHeight="1">
      <c r="B1" s="768" t="s">
        <v>714</v>
      </c>
      <c r="C1" s="769"/>
      <c r="D1" s="769"/>
      <c r="E1" s="769"/>
      <c r="F1" s="769"/>
      <c r="G1" s="769"/>
      <c r="H1" s="769"/>
      <c r="I1" s="769"/>
      <c r="J1" s="769"/>
      <c r="K1" s="769"/>
      <c r="L1" s="769"/>
      <c r="M1" s="769"/>
      <c r="N1" s="769"/>
      <c r="O1" s="769"/>
      <c r="P1" s="769"/>
      <c r="Q1" s="769"/>
      <c r="R1" s="769"/>
      <c r="S1" s="371"/>
    </row>
    <row r="2" spans="2:24" s="50" customFormat="1" ht="18" customHeight="1">
      <c r="B2" s="520" t="s">
        <v>588</v>
      </c>
      <c r="C2" s="520" t="s">
        <v>587</v>
      </c>
      <c r="D2" s="560" t="s">
        <v>92</v>
      </c>
      <c r="E2" s="484" t="s">
        <v>477</v>
      </c>
      <c r="F2" s="484" t="s">
        <v>478</v>
      </c>
      <c r="G2" s="484" t="s">
        <v>479</v>
      </c>
      <c r="H2" s="484" t="s">
        <v>480</v>
      </c>
      <c r="I2" s="484" t="s">
        <v>481</v>
      </c>
      <c r="J2" s="484" t="s">
        <v>482</v>
      </c>
      <c r="K2" s="484" t="s">
        <v>483</v>
      </c>
      <c r="L2" s="484" t="s">
        <v>484</v>
      </c>
      <c r="M2" s="484" t="s">
        <v>485</v>
      </c>
      <c r="N2" s="484" t="s">
        <v>486</v>
      </c>
      <c r="O2" s="484" t="s">
        <v>487</v>
      </c>
      <c r="P2" s="484" t="s">
        <v>488</v>
      </c>
      <c r="Q2" s="484" t="s">
        <v>489</v>
      </c>
      <c r="R2" s="484" t="s">
        <v>490</v>
      </c>
      <c r="S2" s="484" t="s">
        <v>491</v>
      </c>
      <c r="T2" s="484" t="s">
        <v>492</v>
      </c>
      <c r="U2" s="484" t="s">
        <v>493</v>
      </c>
      <c r="V2" s="484" t="s">
        <v>494</v>
      </c>
      <c r="W2" s="484" t="s">
        <v>495</v>
      </c>
      <c r="X2" s="484" t="s">
        <v>496</v>
      </c>
    </row>
    <row r="3" spans="2:24" s="50" customFormat="1" ht="18" customHeight="1">
      <c r="B3" s="53">
        <v>1</v>
      </c>
      <c r="C3" s="54" t="s">
        <v>126</v>
      </c>
      <c r="D3" s="447">
        <f>SUM(E3:X3)</f>
        <v>7697.2536000000046</v>
      </c>
      <c r="E3" s="447">
        <f>'附表5 运营成本汇总表'!E3</f>
        <v>0</v>
      </c>
      <c r="F3" s="447">
        <f>'附表5 运营成本汇总表'!F3</f>
        <v>100</v>
      </c>
      <c r="G3" s="447">
        <f>'附表5 运营成本汇总表'!G3</f>
        <v>100</v>
      </c>
      <c r="H3" s="447">
        <f>'附表5 运营成本汇总表'!H3</f>
        <v>1299.4507200000005</v>
      </c>
      <c r="I3" s="447">
        <f>'附表5 运营成本汇总表'!I3</f>
        <v>567.28028800000004</v>
      </c>
      <c r="J3" s="447">
        <f>'附表5 运营成本汇总表'!J3</f>
        <v>567.28028800000004</v>
      </c>
      <c r="K3" s="447">
        <f>'附表5 运营成本汇总表'!K3</f>
        <v>747.19789600000013</v>
      </c>
      <c r="L3" s="447">
        <f>'附表5 运营成本汇总表'!L3</f>
        <v>447.33521600000006</v>
      </c>
      <c r="M3" s="447">
        <f>'附表5 运营成本汇总表'!M3</f>
        <v>327.39014400000002</v>
      </c>
      <c r="N3" s="447">
        <f>'附表5 运营成本汇总表'!N3</f>
        <v>267.41760800000003</v>
      </c>
      <c r="O3" s="447">
        <f>'附表5 运营成本汇总表'!O3</f>
        <v>207.44507200000001</v>
      </c>
      <c r="P3" s="447">
        <f>'附表5 运营成本汇总表'!P3</f>
        <v>207.44507200000001</v>
      </c>
      <c r="Q3" s="447">
        <f>'附表5 运营成本汇总表'!Q3</f>
        <v>207.44507200000001</v>
      </c>
      <c r="R3" s="447">
        <f>'附表5 运营成本汇总表'!R3</f>
        <v>207.44507200000001</v>
      </c>
      <c r="S3" s="447">
        <f>'附表5 运营成本汇总表'!S3</f>
        <v>207.44507200000001</v>
      </c>
      <c r="T3" s="447">
        <f>'附表5 运营成本汇总表'!T3</f>
        <v>207.44507200000001</v>
      </c>
      <c r="U3" s="447">
        <f>'附表5 运营成本汇总表'!U3</f>
        <v>207.44507200000001</v>
      </c>
      <c r="V3" s="447">
        <f>'附表5 运营成本汇总表'!V3</f>
        <v>207.44507200000001</v>
      </c>
      <c r="W3" s="447">
        <f>'附表5 运营成本汇总表'!W3</f>
        <v>207.44507200000001</v>
      </c>
      <c r="X3" s="447">
        <f>'附表5 运营成本汇总表'!X3</f>
        <v>1406.8957920000003</v>
      </c>
    </row>
    <row r="4" spans="2:24" s="49" customFormat="1" ht="18" customHeight="1">
      <c r="B4" s="53">
        <v>2</v>
      </c>
      <c r="C4" s="54" t="s">
        <v>247</v>
      </c>
      <c r="D4" s="447">
        <f>SUM(E4:X4)</f>
        <v>106762.97492500002</v>
      </c>
      <c r="E4" s="447">
        <f>'附表6 资产折旧摊销表'!E15</f>
        <v>0</v>
      </c>
      <c r="F4" s="447">
        <f>'附表6 资产折旧摊销表'!F15</f>
        <v>0</v>
      </c>
      <c r="G4" s="447">
        <f>'附表6 资产折旧摊销表'!G15</f>
        <v>0</v>
      </c>
      <c r="H4" s="447">
        <f>'附表6 资产折旧摊销表'!H15</f>
        <v>25292.129425742773</v>
      </c>
      <c r="I4" s="447">
        <f>'附表6 资产折旧摊销表'!I15</f>
        <v>10740.753946886869</v>
      </c>
      <c r="J4" s="447">
        <f>'附表6 资产折旧摊销表'!J15</f>
        <v>10740.753946886869</v>
      </c>
      <c r="K4" s="447">
        <f>'附表6 资产折旧摊销表'!K15</f>
        <v>14054.139973585783</v>
      </c>
      <c r="L4" s="447">
        <f>'附表6 资产折旧摊销表'!L15</f>
        <v>8531.8299290875912</v>
      </c>
      <c r="M4" s="447">
        <f>'附表6 资产折旧摊销表'!M15</f>
        <v>6322.9059112883142</v>
      </c>
      <c r="N4" s="447">
        <f>'附表6 资产折旧摊销表'!N15</f>
        <v>5218.4439023886762</v>
      </c>
      <c r="O4" s="447">
        <f>'附表6 资产折旧摊销表'!O15</f>
        <v>377.27777111403731</v>
      </c>
      <c r="P4" s="447">
        <f>'附表6 资产折旧摊销表'!P15</f>
        <v>377.27777111403731</v>
      </c>
      <c r="Q4" s="447">
        <f>'附表6 资产折旧摊销表'!Q15</f>
        <v>377.27777111403731</v>
      </c>
      <c r="R4" s="447">
        <f>'附表6 资产折旧摊销表'!R15</f>
        <v>377.27777111403731</v>
      </c>
      <c r="S4" s="447">
        <f>'附表6 资产折旧摊销表'!S15</f>
        <v>377.27777111403731</v>
      </c>
      <c r="T4" s="447">
        <f>'附表6 资产折旧摊销表'!T15</f>
        <v>377.27777111403731</v>
      </c>
      <c r="U4" s="447">
        <f>'附表6 资产折旧摊销表'!U15</f>
        <v>377.27777111403731</v>
      </c>
      <c r="V4" s="447">
        <f>'附表6 资产折旧摊销表'!V15</f>
        <v>377.27777111403731</v>
      </c>
      <c r="W4" s="447">
        <f>'附表6 资产折旧摊销表'!W15</f>
        <v>377.27777111403731</v>
      </c>
      <c r="X4" s="447">
        <f>'附表6 资产折旧摊销表'!X15</f>
        <v>22466.517949106801</v>
      </c>
    </row>
    <row r="5" spans="2:24" s="49" customFormat="1" ht="18" customHeight="1">
      <c r="B5" s="53">
        <v>3</v>
      </c>
      <c r="C5" s="54" t="s">
        <v>146</v>
      </c>
      <c r="D5" s="447">
        <f>SUM(E5:X5)</f>
        <v>3687.215925237419</v>
      </c>
      <c r="E5" s="447">
        <f>SUM(E6:E6)</f>
        <v>0</v>
      </c>
      <c r="F5" s="447">
        <f>SUM(F6:F6)</f>
        <v>0</v>
      </c>
      <c r="G5" s="447">
        <f t="shared" ref="G5:M5" si="0">SUM(G6:G6)</f>
        <v>0</v>
      </c>
      <c r="H5" s="447">
        <f t="shared" si="0"/>
        <v>0</v>
      </c>
      <c r="I5" s="447">
        <f t="shared" si="0"/>
        <v>0</v>
      </c>
      <c r="J5" s="447">
        <f t="shared" si="0"/>
        <v>0</v>
      </c>
      <c r="K5" s="447">
        <f t="shared" si="0"/>
        <v>0</v>
      </c>
      <c r="L5" s="447">
        <f t="shared" si="0"/>
        <v>0</v>
      </c>
      <c r="M5" s="447">
        <f t="shared" si="0"/>
        <v>0</v>
      </c>
      <c r="N5" s="447">
        <f t="shared" ref="N5:X5" si="1">SUM(N6:N6)</f>
        <v>0</v>
      </c>
      <c r="O5" s="447">
        <f t="shared" si="1"/>
        <v>655.7632500000002</v>
      </c>
      <c r="P5" s="447">
        <f t="shared" si="1"/>
        <v>594.49254986214407</v>
      </c>
      <c r="Q5" s="447">
        <f t="shared" si="1"/>
        <v>532.3027892222201</v>
      </c>
      <c r="R5" s="447">
        <f t="shared" si="1"/>
        <v>469.1801821726973</v>
      </c>
      <c r="S5" s="447">
        <f t="shared" si="1"/>
        <v>405.11073601743158</v>
      </c>
      <c r="T5" s="447">
        <f t="shared" si="1"/>
        <v>340.08024816983692</v>
      </c>
      <c r="U5" s="447">
        <f t="shared" si="1"/>
        <v>274.0743030045283</v>
      </c>
      <c r="V5" s="447">
        <f t="shared" si="1"/>
        <v>207.07826866174008</v>
      </c>
      <c r="W5" s="447">
        <f t="shared" si="1"/>
        <v>139.07729380381002</v>
      </c>
      <c r="X5" s="447">
        <f t="shared" si="1"/>
        <v>70.056304323011005</v>
      </c>
    </row>
    <row r="6" spans="2:24" s="49" customFormat="1" ht="18" customHeight="1">
      <c r="B6" s="504">
        <v>3.1</v>
      </c>
      <c r="C6" s="58" t="s">
        <v>147</v>
      </c>
      <c r="D6" s="447">
        <f>SUM(E6:X6)</f>
        <v>3687.215925237419</v>
      </c>
      <c r="E6" s="450">
        <f>'附表7 银行贷款还本付息表'!E26</f>
        <v>0</v>
      </c>
      <c r="F6" s="450">
        <f>'附表7 银行贷款还本付息表'!F26</f>
        <v>0</v>
      </c>
      <c r="G6" s="450">
        <f>'附表7 银行贷款还本付息表'!G26</f>
        <v>0</v>
      </c>
      <c r="H6" s="450">
        <f>'附表7 银行贷款还本付息表'!H26</f>
        <v>0</v>
      </c>
      <c r="I6" s="450">
        <f>'附表7 银行贷款还本付息表'!I26</f>
        <v>0</v>
      </c>
      <c r="J6" s="450">
        <f>'附表7 银行贷款还本付息表'!J26</f>
        <v>0</v>
      </c>
      <c r="K6" s="450">
        <f>'附表7 银行贷款还本付息表'!K26</f>
        <v>0</v>
      </c>
      <c r="L6" s="450">
        <f>'附表7 银行贷款还本付息表'!L26</f>
        <v>0</v>
      </c>
      <c r="M6" s="450">
        <f>'附表7 银行贷款还本付息表'!M26</f>
        <v>0</v>
      </c>
      <c r="N6" s="450">
        <f>'附表7 银行贷款还本付息表'!N26</f>
        <v>0</v>
      </c>
      <c r="O6" s="450">
        <f>'附表7 银行贷款还本付息表'!O26</f>
        <v>655.7632500000002</v>
      </c>
      <c r="P6" s="450">
        <f>'附表7 银行贷款还本付息表'!P26</f>
        <v>594.49254986214407</v>
      </c>
      <c r="Q6" s="450">
        <f>'附表7 银行贷款还本付息表'!Q26</f>
        <v>532.3027892222201</v>
      </c>
      <c r="R6" s="450">
        <f>'附表7 银行贷款还本付息表'!R26</f>
        <v>469.1801821726973</v>
      </c>
      <c r="S6" s="450">
        <f>'附表7 银行贷款还本付息表'!S26</f>
        <v>405.11073601743158</v>
      </c>
      <c r="T6" s="450">
        <f>'附表7 银行贷款还本付息表'!T26</f>
        <v>340.08024816983692</v>
      </c>
      <c r="U6" s="450">
        <f>'附表7 银行贷款还本付息表'!U26</f>
        <v>274.0743030045283</v>
      </c>
      <c r="V6" s="450">
        <f>'附表7 银行贷款还本付息表'!V26</f>
        <v>207.07826866174008</v>
      </c>
      <c r="W6" s="450">
        <f>'附表7 银行贷款还本付息表'!W26</f>
        <v>139.07729380381002</v>
      </c>
      <c r="X6" s="450">
        <f>'附表7 银行贷款还本付息表'!X26</f>
        <v>70.056304323011005</v>
      </c>
    </row>
    <row r="7" spans="2:24" s="51" customFormat="1" ht="18" customHeight="1">
      <c r="B7" s="325">
        <v>4</v>
      </c>
      <c r="C7" s="326" t="s">
        <v>148</v>
      </c>
      <c r="D7" s="448">
        <f>SUM(E7:X7)</f>
        <v>118147.44445023745</v>
      </c>
      <c r="E7" s="449">
        <f t="shared" ref="E7:X7" si="2">SUM(E3,E4,E5)</f>
        <v>0</v>
      </c>
      <c r="F7" s="449">
        <f>SUM(F3,F4,F5)</f>
        <v>100</v>
      </c>
      <c r="G7" s="449">
        <f t="shared" ref="G7:M7" si="3">SUM(G3,G4,G5)</f>
        <v>100</v>
      </c>
      <c r="H7" s="449">
        <f t="shared" si="3"/>
        <v>26591.580145742773</v>
      </c>
      <c r="I7" s="449">
        <f t="shared" si="3"/>
        <v>11308.034234886869</v>
      </c>
      <c r="J7" s="449">
        <f t="shared" si="3"/>
        <v>11308.034234886869</v>
      </c>
      <c r="K7" s="449">
        <f t="shared" si="3"/>
        <v>14801.337869585783</v>
      </c>
      <c r="L7" s="449">
        <f t="shared" si="3"/>
        <v>8979.1651450875906</v>
      </c>
      <c r="M7" s="449">
        <f t="shared" si="3"/>
        <v>6650.2960552883142</v>
      </c>
      <c r="N7" s="449">
        <f t="shared" si="2"/>
        <v>5485.8615103886759</v>
      </c>
      <c r="O7" s="449">
        <f t="shared" si="2"/>
        <v>1240.4860931140374</v>
      </c>
      <c r="P7" s="449">
        <f t="shared" si="2"/>
        <v>1179.2153929761814</v>
      </c>
      <c r="Q7" s="449">
        <f t="shared" si="2"/>
        <v>1117.0256323362573</v>
      </c>
      <c r="R7" s="449">
        <f t="shared" si="2"/>
        <v>1053.9030252867346</v>
      </c>
      <c r="S7" s="449">
        <f t="shared" si="2"/>
        <v>989.83357913146892</v>
      </c>
      <c r="T7" s="449">
        <f t="shared" si="2"/>
        <v>924.80309128387421</v>
      </c>
      <c r="U7" s="449">
        <f t="shared" si="2"/>
        <v>858.79714611856571</v>
      </c>
      <c r="V7" s="449">
        <f t="shared" si="2"/>
        <v>791.80111177577737</v>
      </c>
      <c r="W7" s="449">
        <f t="shared" si="2"/>
        <v>723.80013691784734</v>
      </c>
      <c r="X7" s="449">
        <f t="shared" si="2"/>
        <v>23943.470045429811</v>
      </c>
    </row>
    <row r="8" spans="2:24" ht="30.65" customHeight="1">
      <c r="B8" s="57"/>
      <c r="C8" s="57"/>
      <c r="D8" s="57"/>
      <c r="E8" s="57"/>
      <c r="F8" s="57"/>
      <c r="G8" s="57"/>
      <c r="H8" s="57"/>
      <c r="I8" s="57"/>
      <c r="J8" s="57"/>
      <c r="K8" s="57"/>
      <c r="L8" s="57"/>
      <c r="M8" s="57"/>
      <c r="N8" s="57"/>
      <c r="O8" s="57"/>
      <c r="P8" s="57"/>
      <c r="Q8" s="57"/>
      <c r="R8" s="57"/>
      <c r="S8" s="57"/>
    </row>
    <row r="9" spans="2:24" ht="30" customHeight="1">
      <c r="B9" s="505" t="s">
        <v>715</v>
      </c>
      <c r="C9" s="506"/>
      <c r="D9" s="506"/>
      <c r="E9" s="506"/>
      <c r="F9" s="506"/>
      <c r="G9" s="506"/>
      <c r="H9" s="506"/>
      <c r="I9" s="506"/>
      <c r="J9" s="506"/>
      <c r="K9" s="506"/>
      <c r="L9" s="506"/>
      <c r="M9" s="506"/>
      <c r="N9" s="506"/>
      <c r="O9" s="506"/>
      <c r="P9" s="506"/>
      <c r="Q9" s="506"/>
      <c r="R9" s="506"/>
      <c r="S9" s="371"/>
    </row>
    <row r="10" spans="2:24" s="50" customFormat="1" ht="18" customHeight="1">
      <c r="B10" s="520" t="s">
        <v>588</v>
      </c>
      <c r="C10" s="520" t="s">
        <v>587</v>
      </c>
      <c r="D10" s="560" t="s">
        <v>92</v>
      </c>
      <c r="E10" s="484" t="s">
        <v>477</v>
      </c>
      <c r="F10" s="484" t="s">
        <v>478</v>
      </c>
      <c r="G10" s="484" t="s">
        <v>479</v>
      </c>
      <c r="H10" s="484" t="s">
        <v>480</v>
      </c>
      <c r="I10" s="484" t="s">
        <v>483</v>
      </c>
      <c r="J10" s="484" t="s">
        <v>484</v>
      </c>
      <c r="K10" s="484" t="s">
        <v>485</v>
      </c>
      <c r="L10" s="484" t="s">
        <v>486</v>
      </c>
      <c r="M10" s="484" t="s">
        <v>487</v>
      </c>
      <c r="N10" s="484" t="s">
        <v>488</v>
      </c>
      <c r="O10" s="484" t="s">
        <v>489</v>
      </c>
      <c r="P10" s="484" t="s">
        <v>490</v>
      </c>
      <c r="Q10" s="484" t="s">
        <v>491</v>
      </c>
      <c r="R10" s="484" t="s">
        <v>492</v>
      </c>
      <c r="S10" s="484" t="s">
        <v>507</v>
      </c>
      <c r="T10" s="484" t="s">
        <v>508</v>
      </c>
      <c r="U10" s="484" t="s">
        <v>509</v>
      </c>
      <c r="V10" s="484" t="s">
        <v>510</v>
      </c>
      <c r="W10" s="484" t="s">
        <v>511</v>
      </c>
      <c r="X10" s="484" t="s">
        <v>512</v>
      </c>
    </row>
    <row r="11" spans="2:24" s="50" customFormat="1" ht="18" customHeight="1">
      <c r="B11" s="53">
        <v>1</v>
      </c>
      <c r="C11" s="54" t="s">
        <v>126</v>
      </c>
      <c r="D11" s="447">
        <f>SUM(E11:X11)</f>
        <v>7261.560000000004</v>
      </c>
      <c r="E11" s="447">
        <f>'5.1运营成本明细表'!G3/(1+'3.1销售情况分析'!$D$29)</f>
        <v>0</v>
      </c>
      <c r="F11" s="447">
        <f>'5.1运营成本明细表'!H3/(1+'3.1销售情况分析'!$D$29)</f>
        <v>94.339622641509436</v>
      </c>
      <c r="G11" s="447">
        <f>'5.1运营成本明细表'!I3/(1+'3.1销售情况分析'!$D$29)</f>
        <v>94.339622641509436</v>
      </c>
      <c r="H11" s="447">
        <f>'5.1运营成本明细表'!J3/(1+'3.1销售情况分析'!$D$29)</f>
        <v>1225.8969056603778</v>
      </c>
      <c r="I11" s="447">
        <f>'5.1运营成本明细表'!K3/(1+'3.1销售情况分析'!$D$29)</f>
        <v>535.1700830188679</v>
      </c>
      <c r="J11" s="447">
        <f>'5.1运营成本明细表'!L3/(1+'3.1销售情况分析'!$D$29)</f>
        <v>535.1700830188679</v>
      </c>
      <c r="K11" s="447">
        <f>'5.1运营成本明细表'!M3/(1+'3.1销售情况分析'!$D$29)</f>
        <v>704.90367547169819</v>
      </c>
      <c r="L11" s="447">
        <f>'5.1运营成本明细表'!N3/(1+'3.1销售情况分析'!$D$29)</f>
        <v>422.01435471698119</v>
      </c>
      <c r="M11" s="447">
        <f>'5.1运营成本明细表'!O3/(1+'3.1销售情况分析'!$D$29)</f>
        <v>308.85862641509436</v>
      </c>
      <c r="N11" s="447">
        <f>'5.1运营成本明细表'!P3/(1+'3.1销售情况分析'!$D$29)</f>
        <v>252.28076226415095</v>
      </c>
      <c r="O11" s="447">
        <f>'5.1运营成本明细表'!Q3/(1+'3.1销售情况分析'!$D$29)</f>
        <v>195.70289811320754</v>
      </c>
      <c r="P11" s="447">
        <f>'5.1运营成本明细表'!R3/(1+'3.1销售情况分析'!$D$29)</f>
        <v>195.70289811320754</v>
      </c>
      <c r="Q11" s="447">
        <f>'5.1运营成本明细表'!S3/(1+'3.1销售情况分析'!$D$29)</f>
        <v>195.70289811320754</v>
      </c>
      <c r="R11" s="447">
        <f>'5.1运营成本明细表'!T3/(1+'3.1销售情况分析'!$D$29)</f>
        <v>195.70289811320754</v>
      </c>
      <c r="S11" s="447">
        <f>'5.1运营成本明细表'!U3/(1+'3.1销售情况分析'!$D$29)</f>
        <v>195.70289811320754</v>
      </c>
      <c r="T11" s="447">
        <f>'5.1运营成本明细表'!V3/(1+'3.1销售情况分析'!$D$29)</f>
        <v>195.70289811320754</v>
      </c>
      <c r="U11" s="447">
        <f>'5.1运营成本明细表'!W3/(1+'3.1销售情况分析'!$D$29)</f>
        <v>195.70289811320754</v>
      </c>
      <c r="V11" s="447">
        <f>'5.1运营成本明细表'!X3/(1+'3.1销售情况分析'!$D$29)</f>
        <v>195.70289811320754</v>
      </c>
      <c r="W11" s="447">
        <f>'5.1运营成本明细表'!Y3/(1+'3.1销售情况分析'!$D$29)</f>
        <v>195.70289811320754</v>
      </c>
      <c r="X11" s="447">
        <f>'5.1运营成本明细表'!Z3/(1+'3.1销售情况分析'!$D$29)</f>
        <v>1327.2601811320756</v>
      </c>
    </row>
    <row r="12" spans="2:24" s="49" customFormat="1" ht="18" customHeight="1">
      <c r="B12" s="53">
        <v>2</v>
      </c>
      <c r="C12" s="54" t="s">
        <v>247</v>
      </c>
      <c r="D12" s="447">
        <f>SUM(E12:X12)</f>
        <v>106762.97492500002</v>
      </c>
      <c r="E12" s="447">
        <f>'附表6 资产折旧摊销表'!E15</f>
        <v>0</v>
      </c>
      <c r="F12" s="447">
        <f>'附表6 资产折旧摊销表'!F15</f>
        <v>0</v>
      </c>
      <c r="G12" s="447">
        <f>'附表6 资产折旧摊销表'!G15</f>
        <v>0</v>
      </c>
      <c r="H12" s="447">
        <f>'附表6 资产折旧摊销表'!H15</f>
        <v>25292.129425742773</v>
      </c>
      <c r="I12" s="447">
        <f>'附表6 资产折旧摊销表'!I15</f>
        <v>10740.753946886869</v>
      </c>
      <c r="J12" s="447">
        <f>'附表6 资产折旧摊销表'!J15</f>
        <v>10740.753946886869</v>
      </c>
      <c r="K12" s="447">
        <f>'附表6 资产折旧摊销表'!K15</f>
        <v>14054.139973585783</v>
      </c>
      <c r="L12" s="447">
        <f>'附表6 资产折旧摊销表'!L15</f>
        <v>8531.8299290875912</v>
      </c>
      <c r="M12" s="447">
        <f>'附表6 资产折旧摊销表'!M15</f>
        <v>6322.9059112883142</v>
      </c>
      <c r="N12" s="447">
        <f>'附表6 资产折旧摊销表'!N15</f>
        <v>5218.4439023886762</v>
      </c>
      <c r="O12" s="447">
        <f>'附表6 资产折旧摊销表'!O15</f>
        <v>377.27777111403731</v>
      </c>
      <c r="P12" s="447">
        <f>'附表6 资产折旧摊销表'!P15</f>
        <v>377.27777111403731</v>
      </c>
      <c r="Q12" s="447">
        <f>'附表6 资产折旧摊销表'!Q15</f>
        <v>377.27777111403731</v>
      </c>
      <c r="R12" s="447">
        <f>'附表6 资产折旧摊销表'!R15</f>
        <v>377.27777111403731</v>
      </c>
      <c r="S12" s="447">
        <f>'附表6 资产折旧摊销表'!S15</f>
        <v>377.27777111403731</v>
      </c>
      <c r="T12" s="447">
        <f>'附表6 资产折旧摊销表'!T15</f>
        <v>377.27777111403731</v>
      </c>
      <c r="U12" s="447">
        <f>'附表6 资产折旧摊销表'!U15</f>
        <v>377.27777111403731</v>
      </c>
      <c r="V12" s="447">
        <f>'附表6 资产折旧摊销表'!V15</f>
        <v>377.27777111403731</v>
      </c>
      <c r="W12" s="447">
        <f>'附表6 资产折旧摊销表'!W15</f>
        <v>377.27777111403731</v>
      </c>
      <c r="X12" s="447">
        <f>'附表6 资产折旧摊销表'!X15</f>
        <v>22466.517949106801</v>
      </c>
    </row>
    <row r="13" spans="2:24" s="49" customFormat="1" ht="18" customHeight="1">
      <c r="B13" s="53">
        <v>3</v>
      </c>
      <c r="C13" s="54" t="s">
        <v>146</v>
      </c>
      <c r="D13" s="447">
        <f>SUM(E13:X13)</f>
        <v>3687.215925237419</v>
      </c>
      <c r="E13" s="447">
        <f t="shared" ref="E13:X13" si="4">E5</f>
        <v>0</v>
      </c>
      <c r="F13" s="447">
        <f t="shared" si="4"/>
        <v>0</v>
      </c>
      <c r="G13" s="447">
        <f t="shared" si="4"/>
        <v>0</v>
      </c>
      <c r="H13" s="447">
        <f t="shared" si="4"/>
        <v>0</v>
      </c>
      <c r="I13" s="447">
        <f t="shared" si="4"/>
        <v>0</v>
      </c>
      <c r="J13" s="447">
        <f t="shared" si="4"/>
        <v>0</v>
      </c>
      <c r="K13" s="447">
        <f t="shared" si="4"/>
        <v>0</v>
      </c>
      <c r="L13" s="447">
        <f t="shared" si="4"/>
        <v>0</v>
      </c>
      <c r="M13" s="447">
        <f t="shared" si="4"/>
        <v>0</v>
      </c>
      <c r="N13" s="447">
        <f t="shared" si="4"/>
        <v>0</v>
      </c>
      <c r="O13" s="447">
        <f t="shared" si="4"/>
        <v>655.7632500000002</v>
      </c>
      <c r="P13" s="447">
        <f t="shared" si="4"/>
        <v>594.49254986214407</v>
      </c>
      <c r="Q13" s="447">
        <f t="shared" si="4"/>
        <v>532.3027892222201</v>
      </c>
      <c r="R13" s="447">
        <f t="shared" si="4"/>
        <v>469.1801821726973</v>
      </c>
      <c r="S13" s="447">
        <f t="shared" si="4"/>
        <v>405.11073601743158</v>
      </c>
      <c r="T13" s="447">
        <f t="shared" si="4"/>
        <v>340.08024816983692</v>
      </c>
      <c r="U13" s="447">
        <f t="shared" si="4"/>
        <v>274.0743030045283</v>
      </c>
      <c r="V13" s="447">
        <f t="shared" si="4"/>
        <v>207.07826866174008</v>
      </c>
      <c r="W13" s="447">
        <f t="shared" si="4"/>
        <v>139.07729380381002</v>
      </c>
      <c r="X13" s="447">
        <f t="shared" si="4"/>
        <v>70.056304323011005</v>
      </c>
    </row>
    <row r="14" spans="2:24" s="49" customFormat="1" ht="18" customHeight="1">
      <c r="B14" s="504">
        <v>3.1</v>
      </c>
      <c r="C14" s="58" t="s">
        <v>147</v>
      </c>
      <c r="D14" s="447">
        <f>SUM(E14:X14)</f>
        <v>3687.215925237419</v>
      </c>
      <c r="E14" s="449">
        <f t="shared" ref="E14:X14" si="5">E6</f>
        <v>0</v>
      </c>
      <c r="F14" s="449">
        <f t="shared" si="5"/>
        <v>0</v>
      </c>
      <c r="G14" s="449">
        <f t="shared" si="5"/>
        <v>0</v>
      </c>
      <c r="H14" s="449">
        <f t="shared" si="5"/>
        <v>0</v>
      </c>
      <c r="I14" s="449">
        <f t="shared" si="5"/>
        <v>0</v>
      </c>
      <c r="J14" s="449">
        <f t="shared" si="5"/>
        <v>0</v>
      </c>
      <c r="K14" s="449">
        <f t="shared" si="5"/>
        <v>0</v>
      </c>
      <c r="L14" s="449">
        <f t="shared" si="5"/>
        <v>0</v>
      </c>
      <c r="M14" s="449">
        <f t="shared" si="5"/>
        <v>0</v>
      </c>
      <c r="N14" s="450">
        <f t="shared" si="5"/>
        <v>0</v>
      </c>
      <c r="O14" s="450">
        <f t="shared" si="5"/>
        <v>655.7632500000002</v>
      </c>
      <c r="P14" s="450">
        <f t="shared" si="5"/>
        <v>594.49254986214407</v>
      </c>
      <c r="Q14" s="450">
        <f t="shared" si="5"/>
        <v>532.3027892222201</v>
      </c>
      <c r="R14" s="450">
        <f t="shared" si="5"/>
        <v>469.1801821726973</v>
      </c>
      <c r="S14" s="450">
        <f t="shared" si="5"/>
        <v>405.11073601743158</v>
      </c>
      <c r="T14" s="450">
        <f t="shared" si="5"/>
        <v>340.08024816983692</v>
      </c>
      <c r="U14" s="450">
        <f t="shared" si="5"/>
        <v>274.0743030045283</v>
      </c>
      <c r="V14" s="450">
        <f t="shared" si="5"/>
        <v>207.07826866174008</v>
      </c>
      <c r="W14" s="450">
        <f t="shared" si="5"/>
        <v>139.07729380381002</v>
      </c>
      <c r="X14" s="450">
        <f t="shared" si="5"/>
        <v>70.056304323011005</v>
      </c>
    </row>
    <row r="15" spans="2:24" s="51" customFormat="1" ht="18" customHeight="1">
      <c r="B15" s="55">
        <v>4</v>
      </c>
      <c r="C15" s="56" t="s">
        <v>148</v>
      </c>
      <c r="D15" s="448">
        <f>SUM(E15:X15)</f>
        <v>117711.75085023741</v>
      </c>
      <c r="E15" s="449">
        <f t="shared" ref="E15:X15" si="6">SUM(E11,E12,E13)</f>
        <v>0</v>
      </c>
      <c r="F15" s="449">
        <f t="shared" si="6"/>
        <v>94.339622641509436</v>
      </c>
      <c r="G15" s="449">
        <f t="shared" si="6"/>
        <v>94.339622641509436</v>
      </c>
      <c r="H15" s="449">
        <f t="shared" si="6"/>
        <v>26518.026331403151</v>
      </c>
      <c r="I15" s="449">
        <f t="shared" si="6"/>
        <v>11275.924029905736</v>
      </c>
      <c r="J15" s="449">
        <f t="shared" si="6"/>
        <v>11275.924029905736</v>
      </c>
      <c r="K15" s="449">
        <f t="shared" si="6"/>
        <v>14759.043649057481</v>
      </c>
      <c r="L15" s="449">
        <f t="shared" si="6"/>
        <v>8953.8442838045721</v>
      </c>
      <c r="M15" s="449">
        <f t="shared" si="6"/>
        <v>6631.7645377034087</v>
      </c>
      <c r="N15" s="449">
        <f t="shared" si="6"/>
        <v>5470.7246646528274</v>
      </c>
      <c r="O15" s="449">
        <f t="shared" si="6"/>
        <v>1228.743919227245</v>
      </c>
      <c r="P15" s="449">
        <f t="shared" si="6"/>
        <v>1167.4732190893887</v>
      </c>
      <c r="Q15" s="449">
        <f t="shared" si="6"/>
        <v>1105.2834584494649</v>
      </c>
      <c r="R15" s="449">
        <f t="shared" si="6"/>
        <v>1042.1608513999422</v>
      </c>
      <c r="S15" s="449">
        <f t="shared" si="6"/>
        <v>978.09140524467637</v>
      </c>
      <c r="T15" s="449">
        <f t="shared" si="6"/>
        <v>913.06091739708177</v>
      </c>
      <c r="U15" s="449">
        <f t="shared" si="6"/>
        <v>847.05497223177304</v>
      </c>
      <c r="V15" s="449">
        <f t="shared" si="6"/>
        <v>780.05893788898493</v>
      </c>
      <c r="W15" s="449">
        <f t="shared" si="6"/>
        <v>712.05796303105478</v>
      </c>
      <c r="X15" s="449">
        <f t="shared" si="6"/>
        <v>23863.834434561886</v>
      </c>
    </row>
    <row r="17" spans="2:4" ht="18" customHeight="1">
      <c r="B17" s="469" t="s">
        <v>554</v>
      </c>
      <c r="C17" s="470"/>
      <c r="D17"/>
    </row>
  </sheetData>
  <mergeCells count="1">
    <mergeCell ref="B1:R1"/>
  </mergeCells>
  <phoneticPr fontId="27" type="noConversion"/>
  <hyperlinks>
    <hyperlink ref="B17" location="目录!A1" display="点击返回目录"/>
  </hyperlinks>
  <pageMargins left="0.70763888888888904" right="0.70763888888888904" top="0.74791666666666701" bottom="0.74791666666666701" header="0.31388888888888899" footer="0.31388888888888899"/>
  <pageSetup paperSize="9" scale="3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102"/>
  <sheetViews>
    <sheetView zoomScale="85" zoomScaleNormal="85" zoomScaleSheetLayoutView="80" workbookViewId="0">
      <pane xSplit="3" ySplit="3" topLeftCell="D10" activePane="bottomRight" state="frozen"/>
      <selection pane="topRight"/>
      <selection pane="bottomLeft"/>
      <selection pane="bottomRight" activeCell="C15" sqref="C15"/>
    </sheetView>
  </sheetViews>
  <sheetFormatPr defaultColWidth="9" defaultRowHeight="11.5"/>
  <cols>
    <col min="1" max="1" width="2.7265625" style="28" customWidth="1"/>
    <col min="2" max="2" width="22.08984375" style="28" customWidth="1"/>
    <col min="3" max="3" width="12.453125" style="28" customWidth="1"/>
    <col min="4" max="18" width="9.6328125" style="28" customWidth="1"/>
    <col min="19" max="16384" width="9" style="28"/>
  </cols>
  <sheetData>
    <row r="1" spans="2:100" ht="6" customHeight="1"/>
    <row r="2" spans="2:100" ht="40" customHeight="1">
      <c r="B2" s="770" t="s">
        <v>731</v>
      </c>
      <c r="C2" s="771"/>
      <c r="D2" s="771"/>
      <c r="E2" s="771"/>
      <c r="F2" s="771"/>
      <c r="G2" s="771"/>
      <c r="H2" s="771"/>
      <c r="I2" s="771"/>
      <c r="J2" s="771"/>
      <c r="K2" s="771"/>
      <c r="L2" s="771"/>
      <c r="M2" s="771"/>
      <c r="N2" s="771"/>
      <c r="O2" s="771"/>
      <c r="P2" s="771"/>
      <c r="Q2" s="771"/>
      <c r="R2" s="771"/>
      <c r="S2" s="771"/>
      <c r="T2" s="771"/>
      <c r="U2" s="771"/>
      <c r="V2" s="771"/>
      <c r="W2" s="772"/>
    </row>
    <row r="3" spans="2:100" s="507" customFormat="1" ht="18" customHeight="1">
      <c r="B3" s="23" t="s">
        <v>573</v>
      </c>
      <c r="C3" s="15" t="s">
        <v>92</v>
      </c>
      <c r="D3" s="484" t="s">
        <v>477</v>
      </c>
      <c r="E3" s="484" t="s">
        <v>478</v>
      </c>
      <c r="F3" s="484" t="s">
        <v>479</v>
      </c>
      <c r="G3" s="484" t="s">
        <v>480</v>
      </c>
      <c r="H3" s="484" t="s">
        <v>481</v>
      </c>
      <c r="I3" s="484" t="s">
        <v>482</v>
      </c>
      <c r="J3" s="484" t="s">
        <v>483</v>
      </c>
      <c r="K3" s="484" t="s">
        <v>484</v>
      </c>
      <c r="L3" s="484" t="s">
        <v>485</v>
      </c>
      <c r="M3" s="484" t="s">
        <v>486</v>
      </c>
      <c r="N3" s="484" t="s">
        <v>487</v>
      </c>
      <c r="O3" s="484" t="s">
        <v>488</v>
      </c>
      <c r="P3" s="484" t="s">
        <v>489</v>
      </c>
      <c r="Q3" s="484" t="s">
        <v>490</v>
      </c>
      <c r="R3" s="484" t="s">
        <v>491</v>
      </c>
      <c r="S3" s="484" t="s">
        <v>492</v>
      </c>
      <c r="T3" s="484" t="s">
        <v>493</v>
      </c>
      <c r="U3" s="484" t="s">
        <v>494</v>
      </c>
      <c r="V3" s="484" t="s">
        <v>495</v>
      </c>
      <c r="W3" s="484" t="s">
        <v>496</v>
      </c>
    </row>
    <row r="4" spans="2:100" ht="18" customHeight="1">
      <c r="B4" s="13" t="s">
        <v>529</v>
      </c>
      <c r="C4" s="672">
        <f t="shared" ref="C4:C15" si="0">SUM(D4:W4)</f>
        <v>115945.07200000001</v>
      </c>
      <c r="D4" s="414">
        <f>'3.1销售情况分析'!G3</f>
        <v>0</v>
      </c>
      <c r="E4" s="414">
        <f>'3.1销售情况分析'!H3</f>
        <v>0</v>
      </c>
      <c r="F4" s="414">
        <f>'3.1销售情况分析'!I3</f>
        <v>0</v>
      </c>
      <c r="G4" s="414">
        <f>'3.1销售情况分析'!J3</f>
        <v>23989.014400000007</v>
      </c>
      <c r="H4" s="414">
        <f>'3.1销售情况分析'!K3</f>
        <v>9345.6057600000004</v>
      </c>
      <c r="I4" s="414">
        <f>'3.1销售情况分析'!L3</f>
        <v>9345.6057600000004</v>
      </c>
      <c r="J4" s="414">
        <f>'3.1销售情况分析'!M3</f>
        <v>12943.957920000001</v>
      </c>
      <c r="K4" s="414">
        <f>'3.1销售情况分析'!N3</f>
        <v>6946.7043200000007</v>
      </c>
      <c r="L4" s="414">
        <f>'3.1销售情况分析'!O3</f>
        <v>4547.8028800000002</v>
      </c>
      <c r="M4" s="414">
        <f>'3.1销售情况分析'!P3</f>
        <v>3348.3521600000004</v>
      </c>
      <c r="N4" s="414">
        <f>'3.1销售情况分析'!Q3</f>
        <v>2148.9014400000001</v>
      </c>
      <c r="O4" s="414">
        <f>'3.1销售情况分析'!R3</f>
        <v>2148.9014400000001</v>
      </c>
      <c r="P4" s="414">
        <f>'3.1销售情况分析'!S3</f>
        <v>2148.9014400000001</v>
      </c>
      <c r="Q4" s="414">
        <f>'3.1销售情况分析'!T3</f>
        <v>2148.9014400000001</v>
      </c>
      <c r="R4" s="414">
        <f>'3.1销售情况分析'!U3</f>
        <v>2148.9014400000001</v>
      </c>
      <c r="S4" s="414">
        <f>'3.1销售情况分析'!V3</f>
        <v>2148.9014400000001</v>
      </c>
      <c r="T4" s="414">
        <f>'3.1销售情况分析'!W3</f>
        <v>2148.9014400000001</v>
      </c>
      <c r="U4" s="414">
        <f>'3.1销售情况分析'!X3</f>
        <v>2148.9014400000001</v>
      </c>
      <c r="V4" s="414">
        <f>'3.1销售情况分析'!Y3</f>
        <v>2148.9014400000001</v>
      </c>
      <c r="W4" s="414">
        <f>'3.1销售情况分析'!Z3</f>
        <v>26137.915840000001</v>
      </c>
    </row>
    <row r="5" spans="2:100" ht="27" customHeight="1">
      <c r="B5" s="26" t="s">
        <v>150</v>
      </c>
      <c r="C5" s="672">
        <f t="shared" ca="1" si="0"/>
        <v>921.96831849264277</v>
      </c>
      <c r="D5" s="414">
        <f ca="1">'3.1销售情况分析'!G4</f>
        <v>0</v>
      </c>
      <c r="E5" s="414">
        <f>'3.1销售情况分析'!H4</f>
        <v>0</v>
      </c>
      <c r="F5" s="414">
        <f>'3.1销售情况分析'!I4</f>
        <v>0</v>
      </c>
      <c r="G5" s="414">
        <f>'3.1销售情况分析'!J4</f>
        <v>0</v>
      </c>
      <c r="H5" s="414">
        <f>'3.1销售情况分析'!K4</f>
        <v>0</v>
      </c>
      <c r="I5" s="414">
        <f>'3.1销售情况分析'!L4</f>
        <v>0</v>
      </c>
      <c r="J5" s="414">
        <f>'3.1销售情况分析'!M4</f>
        <v>0</v>
      </c>
      <c r="K5" s="414">
        <f>'3.1销售情况分析'!N4</f>
        <v>0</v>
      </c>
      <c r="L5" s="414">
        <f>'3.1销售情况分析'!O4</f>
        <v>0</v>
      </c>
      <c r="M5" s="414">
        <f>'3.1销售情况分析'!P4</f>
        <v>0</v>
      </c>
      <c r="N5" s="414">
        <f>'3.1销售情况分析'!Q4</f>
        <v>0</v>
      </c>
      <c r="O5" s="414">
        <f>'3.1销售情况分析'!R4</f>
        <v>0</v>
      </c>
      <c r="P5" s="414">
        <f>'3.1销售情况分析'!S4</f>
        <v>0</v>
      </c>
      <c r="Q5" s="414">
        <f>'3.1销售情况分析'!T4</f>
        <v>0</v>
      </c>
      <c r="R5" s="414">
        <f>'3.1销售情况分析'!U4</f>
        <v>0</v>
      </c>
      <c r="S5" s="414">
        <f>'3.1销售情况分析'!V4</f>
        <v>0</v>
      </c>
      <c r="T5" s="414">
        <f>'3.1销售情况分析'!W4</f>
        <v>0</v>
      </c>
      <c r="U5" s="414">
        <f>'3.1销售情况分析'!X4</f>
        <v>0</v>
      </c>
      <c r="V5" s="414">
        <f>'3.1销售情况分析'!Y4</f>
        <v>0</v>
      </c>
      <c r="W5" s="414">
        <f>'3.1销售情况分析'!Z4</f>
        <v>921.96831849264277</v>
      </c>
    </row>
    <row r="6" spans="2:100" ht="18" customHeight="1">
      <c r="B6" s="26" t="s">
        <v>151</v>
      </c>
      <c r="C6" s="672">
        <f t="shared" si="0"/>
        <v>118147.44445023745</v>
      </c>
      <c r="D6" s="414">
        <f>'附表8 总成本估算表'!E7</f>
        <v>0</v>
      </c>
      <c r="E6" s="414">
        <f>'附表8 总成本估算表'!F7</f>
        <v>100</v>
      </c>
      <c r="F6" s="414">
        <f>'附表8 总成本估算表'!G7</f>
        <v>100</v>
      </c>
      <c r="G6" s="414">
        <f>'附表8 总成本估算表'!H7</f>
        <v>26591.580145742773</v>
      </c>
      <c r="H6" s="414">
        <f>'附表8 总成本估算表'!I7</f>
        <v>11308.034234886869</v>
      </c>
      <c r="I6" s="414">
        <f>'附表8 总成本估算表'!J7</f>
        <v>11308.034234886869</v>
      </c>
      <c r="J6" s="414">
        <f>'附表8 总成本估算表'!K7</f>
        <v>14801.337869585783</v>
      </c>
      <c r="K6" s="414">
        <f>'附表8 总成本估算表'!L7</f>
        <v>8979.1651450875906</v>
      </c>
      <c r="L6" s="414">
        <f>'附表8 总成本估算表'!M7</f>
        <v>6650.2960552883142</v>
      </c>
      <c r="M6" s="414">
        <f>'附表8 总成本估算表'!N7</f>
        <v>5485.8615103886759</v>
      </c>
      <c r="N6" s="414">
        <f>'附表8 总成本估算表'!O7</f>
        <v>1240.4860931140374</v>
      </c>
      <c r="O6" s="414">
        <f>'附表8 总成本估算表'!P7</f>
        <v>1179.2153929761814</v>
      </c>
      <c r="P6" s="414">
        <f>'附表8 总成本估算表'!Q7</f>
        <v>1117.0256323362573</v>
      </c>
      <c r="Q6" s="414">
        <f>'附表8 总成本估算表'!R7</f>
        <v>1053.9030252867346</v>
      </c>
      <c r="R6" s="414">
        <f>'附表8 总成本估算表'!S7</f>
        <v>989.83357913146892</v>
      </c>
      <c r="S6" s="414">
        <f>'附表8 总成本估算表'!T7</f>
        <v>924.80309128387421</v>
      </c>
      <c r="T6" s="414">
        <f>'附表8 总成本估算表'!U7</f>
        <v>858.79714611856571</v>
      </c>
      <c r="U6" s="414">
        <f>'附表8 总成本估算表'!V7</f>
        <v>791.80111177577737</v>
      </c>
      <c r="V6" s="414">
        <f>'附表8 总成本估算表'!W7</f>
        <v>723.80013691784734</v>
      </c>
      <c r="W6" s="414">
        <f>'附表8 总成本估算表'!X7</f>
        <v>23943.470045429811</v>
      </c>
    </row>
    <row r="7" spans="2:100" ht="18" customHeight="1">
      <c r="B7" s="38" t="s">
        <v>530</v>
      </c>
      <c r="C7" s="672">
        <f t="shared" si="0"/>
        <v>0</v>
      </c>
      <c r="D7" s="415">
        <f>附表3营业收入汇总表!D6</f>
        <v>0</v>
      </c>
      <c r="E7" s="415">
        <f>附表3营业收入汇总表!E6</f>
        <v>0</v>
      </c>
      <c r="F7" s="415">
        <f>附表3营业收入汇总表!F6</f>
        <v>0</v>
      </c>
      <c r="G7" s="415">
        <f>附表3营业收入汇总表!G6</f>
        <v>0</v>
      </c>
      <c r="H7" s="415">
        <f>附表3营业收入汇总表!H6</f>
        <v>0</v>
      </c>
      <c r="I7" s="415">
        <f>附表3营业收入汇总表!I6</f>
        <v>0</v>
      </c>
      <c r="J7" s="415">
        <f>附表3营业收入汇总表!J6</f>
        <v>0</v>
      </c>
      <c r="K7" s="415">
        <f>附表3营业收入汇总表!K6</f>
        <v>0</v>
      </c>
      <c r="L7" s="415">
        <f>附表3营业收入汇总表!L6</f>
        <v>0</v>
      </c>
      <c r="M7" s="415">
        <f>附表3营业收入汇总表!M6</f>
        <v>0</v>
      </c>
      <c r="N7" s="415">
        <f>附表3营业收入汇总表!N6</f>
        <v>0</v>
      </c>
      <c r="O7" s="415">
        <f>附表3营业收入汇总表!O6</f>
        <v>0</v>
      </c>
      <c r="P7" s="415">
        <f>附表3营业收入汇总表!P6</f>
        <v>0</v>
      </c>
      <c r="Q7" s="415">
        <f>附表3营业收入汇总表!Q6</f>
        <v>0</v>
      </c>
      <c r="R7" s="415">
        <f>附表3营业收入汇总表!R6</f>
        <v>0</v>
      </c>
      <c r="S7" s="415">
        <f>附表3营业收入汇总表!S6</f>
        <v>0</v>
      </c>
      <c r="T7" s="415">
        <f>附表3营业收入汇总表!T6</f>
        <v>0</v>
      </c>
      <c r="U7" s="415">
        <f>附表3营业收入汇总表!U6</f>
        <v>0</v>
      </c>
      <c r="V7" s="415">
        <f>附表3营业收入汇总表!V6</f>
        <v>0</v>
      </c>
      <c r="W7" s="415">
        <f>附表3营业收入汇总表!W6</f>
        <v>0</v>
      </c>
    </row>
    <row r="8" spans="2:100" ht="18" customHeight="1">
      <c r="B8" s="13" t="s">
        <v>152</v>
      </c>
      <c r="C8" s="672">
        <f t="shared" ca="1" si="0"/>
        <v>-3124.3407687300605</v>
      </c>
      <c r="D8" s="414">
        <f ca="1">D4-D5-D6+D7</f>
        <v>0</v>
      </c>
      <c r="E8" s="414">
        <f t="shared" ref="E8:W8" si="1">E4-E5-E6+E7</f>
        <v>-100</v>
      </c>
      <c r="F8" s="414">
        <f t="shared" si="1"/>
        <v>-100</v>
      </c>
      <c r="G8" s="414">
        <f t="shared" si="1"/>
        <v>-2602.565745742766</v>
      </c>
      <c r="H8" s="414">
        <f t="shared" si="1"/>
        <v>-1962.4284748868686</v>
      </c>
      <c r="I8" s="414">
        <f t="shared" si="1"/>
        <v>-1962.4284748868686</v>
      </c>
      <c r="J8" s="414">
        <f t="shared" si="1"/>
        <v>-1857.379949585782</v>
      </c>
      <c r="K8" s="414">
        <f t="shared" si="1"/>
        <v>-2032.4608250875899</v>
      </c>
      <c r="L8" s="414">
        <f t="shared" si="1"/>
        <v>-2102.493175288314</v>
      </c>
      <c r="M8" s="414">
        <f t="shared" si="1"/>
        <v>-2137.5093503886756</v>
      </c>
      <c r="N8" s="414">
        <f t="shared" si="1"/>
        <v>908.41534688596266</v>
      </c>
      <c r="O8" s="414">
        <f t="shared" si="1"/>
        <v>969.68604702381867</v>
      </c>
      <c r="P8" s="414">
        <f t="shared" si="1"/>
        <v>1031.8758076637428</v>
      </c>
      <c r="Q8" s="414">
        <f t="shared" si="1"/>
        <v>1094.9984147132654</v>
      </c>
      <c r="R8" s="414">
        <f t="shared" si="1"/>
        <v>1159.0678608685312</v>
      </c>
      <c r="S8" s="414">
        <f t="shared" si="1"/>
        <v>1224.0983487161259</v>
      </c>
      <c r="T8" s="414">
        <f t="shared" si="1"/>
        <v>1290.1042938814344</v>
      </c>
      <c r="U8" s="414">
        <f t="shared" si="1"/>
        <v>1357.1003282242227</v>
      </c>
      <c r="V8" s="414">
        <f t="shared" si="1"/>
        <v>1425.1013030821528</v>
      </c>
      <c r="W8" s="414">
        <f t="shared" si="1"/>
        <v>1272.4774760775472</v>
      </c>
    </row>
    <row r="9" spans="2:100" ht="18" customHeight="1">
      <c r="B9" s="13" t="s">
        <v>310</v>
      </c>
      <c r="C9" s="672">
        <f t="shared" ca="1" si="0"/>
        <v>11732.925227136802</v>
      </c>
      <c r="D9" s="411"/>
      <c r="E9" s="411"/>
      <c r="F9" s="411">
        <f>IF(F8&lt;0,0,IF(AND(SUM($D$8:E8)&lt;0,ABS(SUM($D$8:E8))&gt;F8),F8,IF(AND(SUM($D$8:E8)&lt;0,ABS(SUM($D$8:E8))&lt;F8),ABS(SUM($D$8:E8)),0)))</f>
        <v>0</v>
      </c>
      <c r="G9" s="411">
        <f>IF(G8&lt;0,0,IF(AND(SUM($D$8:F8)&lt;0,ABS(SUM($D$8:F8))&gt;G8),G8,IF(AND(SUM($D$8:F8)&lt;0,ABS(SUM($D$8:F8))&lt;G8),ABS(SUM($D$8:F8)),0)))</f>
        <v>0</v>
      </c>
      <c r="H9" s="411">
        <f>IF(H8&lt;0,0,IF(AND(SUM($D$8:G8)&lt;0,ABS(SUM($D$8:G8))&gt;H8),H8,IF(AND(SUM($D$8:G8)&lt;0,ABS(SUM($D$8:G8))&lt;H8),ABS(SUM($D$8:G8)),0)))</f>
        <v>0</v>
      </c>
      <c r="I9" s="411">
        <f>IF(I8&lt;0,0,IF(AND(SUM($D$8:H8)&lt;0,ABS(SUM($D$8:H8))&gt;I8),I8,IF(AND(SUM($D$8:H8)&lt;0,ABS(SUM($D$8:H8))&lt;I8),ABS(SUM($D$8:H8)),0)))</f>
        <v>0</v>
      </c>
      <c r="J9" s="411">
        <f>IF(J8&lt;0,0,IF(AND(SUM($D$8:I8)&lt;0,ABS(SUM($D$8:I8))&gt;J8),J8,IF(AND(SUM($D$8:I8)&lt;0,ABS(SUM($D$8:I8))&lt;J8),ABS(SUM($D$8:I8)),0)))</f>
        <v>0</v>
      </c>
      <c r="K9" s="411">
        <f>IF(K8&lt;0,0,IF(AND(SUM($D$8:J8)&lt;0,ABS(SUM($D$8:J8))&gt;K8),K8,IF(AND(SUM($D$8:J8)&lt;0,ABS(SUM($D$8:J8))&lt;K8),ABS(SUM($D$8:J8)),0)))</f>
        <v>0</v>
      </c>
      <c r="L9" s="411">
        <f>IF(L8&lt;0,0,IF(AND(SUM($D$8:K8)&lt;0,ABS(SUM($D$8:K8))&gt;L8),L8,IF(AND(SUM($D$8:K8)&lt;0,ABS(SUM($D$8:K8))&lt;L8),ABS(SUM($D$8:K8)),0)))</f>
        <v>0</v>
      </c>
      <c r="M9" s="411">
        <f>IF(M8&lt;0,0,IF(AND(SUM($D$8:L8)&lt;0,ABS(SUM($D$8:L8))&gt;M8),M8,IF(AND(SUM($D$8:L8)&lt;0,ABS(SUM($D$8:L8))&lt;M8),ABS(SUM($D$8:L8)),0)))</f>
        <v>0</v>
      </c>
      <c r="N9" s="411">
        <f ca="1">IF(N8&lt;0,0,IF(AND(SUM($D$8:M8)&lt;0,ABS(SUM($D$8:M8))&gt;N8),N8,IF(AND(SUM($D$8:M8)&lt;0,ABS(SUM($D$8:M8))&lt;N8),ABS(SUM($D$8:M8)),0)))</f>
        <v>908.41534688596266</v>
      </c>
      <c r="O9" s="411">
        <f ca="1">IF(O8&lt;0,0,IF(AND(SUM($D$8:N8)&lt;0,ABS(SUM($D$8:N8))&gt;O8),O8,IF(AND(SUM($D$8:N8)&lt;0,ABS(SUM($D$8:N8))&lt;O8),ABS(SUM($D$8:N8)),0)))</f>
        <v>969.68604702381867</v>
      </c>
      <c r="P9" s="411">
        <f ca="1">IF(P8&lt;0,0,IF(AND(SUM($D$8:O8)&lt;0,ABS(SUM($D$8:O8))&gt;P8),P8,IF(AND(SUM($D$8:O8)&lt;0,ABS(SUM($D$8:O8))&lt;P8),ABS(SUM($D$8:O8)),0)))</f>
        <v>1031.8758076637428</v>
      </c>
      <c r="Q9" s="411">
        <f ca="1">IF(Q8&lt;0,0,IF(AND(SUM($D$8:P8)&lt;0,ABS(SUM($D$8:P8))&gt;Q8),Q8,IF(AND(SUM($D$8:P8)&lt;0,ABS(SUM($D$8:P8))&lt;Q8),ABS(SUM($D$8:P8)),0)))</f>
        <v>1094.9984147132654</v>
      </c>
      <c r="R9" s="411">
        <f ca="1">IF(R8&lt;0,0,IF(AND(SUM($D$8:Q8)&lt;0,ABS(SUM($D$8:Q8))&gt;R8),R8,IF(AND(SUM($D$8:Q8)&lt;0,ABS(SUM($D$8:Q8))&lt;R8),ABS(SUM($D$8:Q8)),0)))</f>
        <v>1159.0678608685312</v>
      </c>
      <c r="S9" s="411">
        <f ca="1">IF(S8&lt;0,0,IF(AND(SUM($D$8:R8)&lt;0,ABS(SUM($D$8:R8))&gt;S8),S8,IF(AND(SUM($D$8:R8)&lt;0,ABS(SUM($D$8:R8))&lt;S8),ABS(SUM($D$8:R8)),0)))</f>
        <v>1224.0983487161259</v>
      </c>
      <c r="T9" s="411">
        <f ca="1">IF(T8&lt;0,0,IF(AND(SUM($D$8:S8)&lt;0,ABS(SUM($D$8:S8))&gt;T8),T8,IF(AND(SUM($D$8:S8)&lt;0,ABS(SUM($D$8:S8))&lt;T8),ABS(SUM($D$8:S8)),0)))</f>
        <v>1290.1042938814344</v>
      </c>
      <c r="U9" s="411">
        <f ca="1">IF(U8&lt;0,0,IF(AND(SUM($D$8:T8)&lt;0,ABS(SUM($D$8:T8))&gt;U8),U8,IF(AND(SUM($D$8:T8)&lt;0,ABS(SUM($D$8:T8))&lt;U8),ABS(SUM($D$8:T8)),0)))</f>
        <v>1357.1003282242227</v>
      </c>
      <c r="V9" s="411">
        <f ca="1">IF(V8&lt;0,0,IF(AND(SUM($D$8:U8)&lt;0,ABS(SUM($D$8:U8))&gt;V8),V8,IF(AND(SUM($D$8:U8)&lt;0,ABS(SUM($D$8:U8))&lt;V8),ABS(SUM($D$8:U8)),0)))</f>
        <v>1425.1013030821528</v>
      </c>
      <c r="W9" s="411">
        <f ca="1">IF(W8&lt;0,0,IF(AND(SUM($D$8:V8)&lt;0,ABS(SUM($D$8:V8))&gt;W8),W8,IF(AND(SUM($D$8:V8)&lt;0,ABS(SUM($D$8:V8))&lt;W8),ABS(SUM($D$8:V8)),0)))</f>
        <v>1272.4774760775472</v>
      </c>
    </row>
    <row r="10" spans="2:100" ht="18" customHeight="1">
      <c r="B10" s="13" t="s">
        <v>154</v>
      </c>
      <c r="C10" s="672">
        <f t="shared" ca="1" si="0"/>
        <v>0</v>
      </c>
      <c r="D10" s="416">
        <f ca="1">IF(D8-D9&gt;0,D8-D9,0)</f>
        <v>0</v>
      </c>
      <c r="E10" s="416">
        <f t="shared" ref="E10:W10" si="2">IF(E8-E9&gt;0,E8-E9,0)</f>
        <v>0</v>
      </c>
      <c r="F10" s="416">
        <f t="shared" si="2"/>
        <v>0</v>
      </c>
      <c r="G10" s="416">
        <f t="shared" si="2"/>
        <v>0</v>
      </c>
      <c r="H10" s="416">
        <f t="shared" si="2"/>
        <v>0</v>
      </c>
      <c r="I10" s="416">
        <f t="shared" si="2"/>
        <v>0</v>
      </c>
      <c r="J10" s="416">
        <f t="shared" si="2"/>
        <v>0</v>
      </c>
      <c r="K10" s="416">
        <f t="shared" si="2"/>
        <v>0</v>
      </c>
      <c r="L10" s="416">
        <f t="shared" si="2"/>
        <v>0</v>
      </c>
      <c r="M10" s="416">
        <f t="shared" si="2"/>
        <v>0</v>
      </c>
      <c r="N10" s="416">
        <f t="shared" ca="1" si="2"/>
        <v>0</v>
      </c>
      <c r="O10" s="416">
        <f t="shared" ca="1" si="2"/>
        <v>0</v>
      </c>
      <c r="P10" s="416">
        <f t="shared" ca="1" si="2"/>
        <v>0</v>
      </c>
      <c r="Q10" s="416">
        <f t="shared" ca="1" si="2"/>
        <v>0</v>
      </c>
      <c r="R10" s="416">
        <f t="shared" ca="1" si="2"/>
        <v>0</v>
      </c>
      <c r="S10" s="416">
        <f t="shared" ca="1" si="2"/>
        <v>0</v>
      </c>
      <c r="T10" s="416">
        <f t="shared" ca="1" si="2"/>
        <v>0</v>
      </c>
      <c r="U10" s="416">
        <f t="shared" ca="1" si="2"/>
        <v>0</v>
      </c>
      <c r="V10" s="416">
        <f t="shared" ca="1" si="2"/>
        <v>0</v>
      </c>
      <c r="W10" s="416">
        <f t="shared" ca="1" si="2"/>
        <v>0</v>
      </c>
    </row>
    <row r="11" spans="2:100" ht="18" customHeight="1">
      <c r="B11" s="13" t="s">
        <v>384</v>
      </c>
      <c r="C11" s="672">
        <f t="shared" ca="1" si="0"/>
        <v>0</v>
      </c>
      <c r="D11" s="414">
        <f ca="1">IF(D10&gt;0,D10*'0基本假设 '!$L$41,0)</f>
        <v>0</v>
      </c>
      <c r="E11" s="414">
        <f>IF(E10&gt;0,E10*'0基本假设 '!$L$41,0)</f>
        <v>0</v>
      </c>
      <c r="F11" s="414">
        <f>IF(F10&gt;0,F10*'0基本假设 '!$L$41,0)</f>
        <v>0</v>
      </c>
      <c r="G11" s="414">
        <f>IF(G10&gt;0,G10*'0基本假设 '!$L$41,0)</f>
        <v>0</v>
      </c>
      <c r="H11" s="414">
        <f>IF(H10&gt;0,H10*'0基本假设 '!$L$41,0)</f>
        <v>0</v>
      </c>
      <c r="I11" s="414">
        <f>IF(I10&gt;0,I10*'0基本假设 '!$L$41,0)</f>
        <v>0</v>
      </c>
      <c r="J11" s="414">
        <f>IF(J10&gt;0,J10*'0基本假设 '!$L$41,0)</f>
        <v>0</v>
      </c>
      <c r="K11" s="414">
        <f>IF(K10&gt;0,K10*'0基本假设 '!$L$41,0)</f>
        <v>0</v>
      </c>
      <c r="L11" s="414">
        <f>IF(L10&gt;0,L10*'0基本假设 '!$L$41,0)</f>
        <v>0</v>
      </c>
      <c r="M11" s="414">
        <f>IF(M10&gt;0,M10*'0基本假设 '!$L$41,0)</f>
        <v>0</v>
      </c>
      <c r="N11" s="414">
        <f ca="1">IF(N10&gt;0,N10*'0基本假设 '!$L$41,0)</f>
        <v>0</v>
      </c>
      <c r="O11" s="414">
        <f ca="1">IF(O10&gt;0,O10*'0基本假设 '!$L$41,0)</f>
        <v>0</v>
      </c>
      <c r="P11" s="414">
        <f ca="1">IF(P10&gt;0,P10*'0基本假设 '!$L$41,0)</f>
        <v>0</v>
      </c>
      <c r="Q11" s="414">
        <f ca="1">IF(Q10&gt;0,Q10*'0基本假设 '!$L$41,0)</f>
        <v>0</v>
      </c>
      <c r="R11" s="414">
        <f ca="1">IF(R10&gt;0,R10*'0基本假设 '!$L$41,0)</f>
        <v>0</v>
      </c>
      <c r="S11" s="414">
        <f ca="1">IF(S10&gt;0,S10*'0基本假设 '!$L$41,0)</f>
        <v>0</v>
      </c>
      <c r="T11" s="414">
        <f ca="1">IF(T10&gt;0,T10*'0基本假设 '!$L$41,0)</f>
        <v>0</v>
      </c>
      <c r="U11" s="414">
        <f ca="1">IF(U10&gt;0,U10*'0基本假设 '!$L$41,0)</f>
        <v>0</v>
      </c>
      <c r="V11" s="414">
        <f ca="1">IF(V10&gt;0,V10*'0基本假设 '!$L$41,0)</f>
        <v>0</v>
      </c>
      <c r="W11" s="414">
        <f ca="1">IF(W10&gt;0,W10*'0基本假设 '!$L$41,0)</f>
        <v>0</v>
      </c>
    </row>
    <row r="12" spans="2:100" ht="18" customHeight="1">
      <c r="B12" s="13" t="s">
        <v>155</v>
      </c>
      <c r="C12" s="672">
        <f t="shared" ca="1" si="0"/>
        <v>-3124.3407687300605</v>
      </c>
      <c r="D12" s="414">
        <f ca="1">D8-D11</f>
        <v>0</v>
      </c>
      <c r="E12" s="414">
        <f t="shared" ref="E12:W12" si="3">E8-E11</f>
        <v>-100</v>
      </c>
      <c r="F12" s="414">
        <f t="shared" si="3"/>
        <v>-100</v>
      </c>
      <c r="G12" s="414">
        <f t="shared" si="3"/>
        <v>-2602.565745742766</v>
      </c>
      <c r="H12" s="414">
        <f t="shared" si="3"/>
        <v>-1962.4284748868686</v>
      </c>
      <c r="I12" s="414">
        <f t="shared" si="3"/>
        <v>-1962.4284748868686</v>
      </c>
      <c r="J12" s="414">
        <f t="shared" si="3"/>
        <v>-1857.379949585782</v>
      </c>
      <c r="K12" s="414">
        <f t="shared" si="3"/>
        <v>-2032.4608250875899</v>
      </c>
      <c r="L12" s="414">
        <f t="shared" si="3"/>
        <v>-2102.493175288314</v>
      </c>
      <c r="M12" s="414">
        <f t="shared" si="3"/>
        <v>-2137.5093503886756</v>
      </c>
      <c r="N12" s="414">
        <f t="shared" ca="1" si="3"/>
        <v>908.41534688596266</v>
      </c>
      <c r="O12" s="414">
        <f t="shared" ca="1" si="3"/>
        <v>969.68604702381867</v>
      </c>
      <c r="P12" s="414">
        <f t="shared" ca="1" si="3"/>
        <v>1031.8758076637428</v>
      </c>
      <c r="Q12" s="414">
        <f t="shared" ca="1" si="3"/>
        <v>1094.9984147132654</v>
      </c>
      <c r="R12" s="414">
        <f t="shared" ca="1" si="3"/>
        <v>1159.0678608685312</v>
      </c>
      <c r="S12" s="414">
        <f t="shared" ca="1" si="3"/>
        <v>1224.0983487161259</v>
      </c>
      <c r="T12" s="414">
        <f t="shared" ca="1" si="3"/>
        <v>1290.1042938814344</v>
      </c>
      <c r="U12" s="414">
        <f t="shared" ca="1" si="3"/>
        <v>1357.1003282242227</v>
      </c>
      <c r="V12" s="414">
        <f t="shared" ca="1" si="3"/>
        <v>1425.1013030821528</v>
      </c>
      <c r="W12" s="414">
        <f t="shared" ca="1" si="3"/>
        <v>1272.4774760775472</v>
      </c>
    </row>
    <row r="13" spans="2:100" s="36" customFormat="1" ht="18" customHeight="1">
      <c r="B13" s="38" t="s">
        <v>156</v>
      </c>
      <c r="C13" s="672">
        <f t="shared" ca="1" si="0"/>
        <v>0</v>
      </c>
      <c r="D13" s="416">
        <v>0</v>
      </c>
      <c r="E13" s="416">
        <f ca="1">D18</f>
        <v>0</v>
      </c>
      <c r="F13" s="416">
        <f t="shared" ref="F13:G13" ca="1" si="4">E18</f>
        <v>0</v>
      </c>
      <c r="G13" s="416">
        <f t="shared" ca="1" si="4"/>
        <v>0</v>
      </c>
      <c r="H13" s="416">
        <f t="shared" ref="H13" ca="1" si="5">G18</f>
        <v>0</v>
      </c>
      <c r="I13" s="416">
        <f t="shared" ref="I13" ca="1" si="6">H18</f>
        <v>0</v>
      </c>
      <c r="J13" s="416">
        <f t="shared" ref="J13" ca="1" si="7">I18</f>
        <v>0</v>
      </c>
      <c r="K13" s="416">
        <f t="shared" ref="K13" ca="1" si="8">J18</f>
        <v>0</v>
      </c>
      <c r="L13" s="416">
        <f t="shared" ref="L13" ca="1" si="9">K18</f>
        <v>0</v>
      </c>
      <c r="M13" s="416">
        <f t="shared" ref="M13" ca="1" si="10">L18</f>
        <v>0</v>
      </c>
      <c r="N13" s="416">
        <f t="shared" ref="N13" ca="1" si="11">M18</f>
        <v>0</v>
      </c>
      <c r="O13" s="416">
        <f t="shared" ref="O13" ca="1" si="12">N18</f>
        <v>0</v>
      </c>
      <c r="P13" s="416">
        <f t="shared" ref="P13" ca="1" si="13">O18</f>
        <v>0</v>
      </c>
      <c r="Q13" s="416">
        <f t="shared" ref="Q13" ca="1" si="14">P18</f>
        <v>0</v>
      </c>
      <c r="R13" s="416">
        <f t="shared" ref="R13" ca="1" si="15">Q18</f>
        <v>0</v>
      </c>
      <c r="S13" s="416">
        <f t="shared" ref="S13" ca="1" si="16">R18</f>
        <v>0</v>
      </c>
      <c r="T13" s="416">
        <f t="shared" ref="T13" ca="1" si="17">S18</f>
        <v>0</v>
      </c>
      <c r="U13" s="416">
        <f t="shared" ref="U13" ca="1" si="18">T18</f>
        <v>0</v>
      </c>
      <c r="V13" s="416">
        <f t="shared" ref="V13" ca="1" si="19">U18</f>
        <v>0</v>
      </c>
      <c r="W13" s="416">
        <f t="shared" ref="W13" ca="1" si="20">V18</f>
        <v>0</v>
      </c>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row>
    <row r="14" spans="2:100" s="36" customFormat="1" ht="48" customHeight="1">
      <c r="B14" s="38" t="s">
        <v>157</v>
      </c>
      <c r="C14" s="411">
        <f t="shared" ca="1" si="0"/>
        <v>11732.925227136802</v>
      </c>
      <c r="D14" s="416">
        <f ca="1">IF(D12+D13&gt;0,D12+D13,0)</f>
        <v>0</v>
      </c>
      <c r="E14" s="416">
        <f ca="1">IF(E12+E13&gt;0,E12+E13,0)</f>
        <v>0</v>
      </c>
      <c r="F14" s="416">
        <f t="shared" ref="F14:W14" ca="1" si="21">IF(F12+F13&gt;0,F12+F13,0)</f>
        <v>0</v>
      </c>
      <c r="G14" s="416">
        <f t="shared" ca="1" si="21"/>
        <v>0</v>
      </c>
      <c r="H14" s="416">
        <f t="shared" ca="1" si="21"/>
        <v>0</v>
      </c>
      <c r="I14" s="416">
        <f t="shared" ca="1" si="21"/>
        <v>0</v>
      </c>
      <c r="J14" s="416">
        <f t="shared" ca="1" si="21"/>
        <v>0</v>
      </c>
      <c r="K14" s="416">
        <f t="shared" ca="1" si="21"/>
        <v>0</v>
      </c>
      <c r="L14" s="416">
        <f t="shared" ca="1" si="21"/>
        <v>0</v>
      </c>
      <c r="M14" s="416">
        <f t="shared" ca="1" si="21"/>
        <v>0</v>
      </c>
      <c r="N14" s="416">
        <f t="shared" ca="1" si="21"/>
        <v>908.41534688596266</v>
      </c>
      <c r="O14" s="416">
        <f t="shared" ca="1" si="21"/>
        <v>969.68604702381867</v>
      </c>
      <c r="P14" s="416">
        <f t="shared" ca="1" si="21"/>
        <v>1031.8758076637428</v>
      </c>
      <c r="Q14" s="416">
        <f t="shared" ca="1" si="21"/>
        <v>1094.9984147132654</v>
      </c>
      <c r="R14" s="416">
        <f t="shared" ca="1" si="21"/>
        <v>1159.0678608685312</v>
      </c>
      <c r="S14" s="416">
        <f t="shared" ca="1" si="21"/>
        <v>1224.0983487161259</v>
      </c>
      <c r="T14" s="416">
        <f t="shared" ca="1" si="21"/>
        <v>1290.1042938814344</v>
      </c>
      <c r="U14" s="416">
        <f t="shared" ca="1" si="21"/>
        <v>1357.1003282242227</v>
      </c>
      <c r="V14" s="416">
        <f t="shared" ca="1" si="21"/>
        <v>1425.1013030821528</v>
      </c>
      <c r="W14" s="416">
        <f t="shared" ca="1" si="21"/>
        <v>1272.4774760775472</v>
      </c>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row>
    <row r="15" spans="2:100" ht="35.15" customHeight="1">
      <c r="B15" s="26" t="s">
        <v>385</v>
      </c>
      <c r="C15" s="411">
        <f t="shared" ca="1" si="0"/>
        <v>500</v>
      </c>
      <c r="D15" s="414">
        <v>0</v>
      </c>
      <c r="E15" s="414">
        <f ca="1">IF(D16+(IF(E14&gt;0,E14*0.1,0))&gt;'0基本假设 '!$L$13*50%,'0基本假设 '!$L$13*50%-D16,IF(E14&gt;0,E14*0.1,0))</f>
        <v>0</v>
      </c>
      <c r="F15" s="414">
        <f ca="1">IF(E16+(IF(F14&gt;0,F14*0.1,0))&gt;'0基本假设 '!$L$13*50%,'0基本假设 '!$L$13*50%-E16,IF(F14&gt;0,F14*0.1,0))</f>
        <v>0</v>
      </c>
      <c r="G15" s="414">
        <f ca="1">IF(F16+(IF(G14&gt;0,G14*0.1,0))&gt;'0基本假设 '!$L$13*50%,'0基本假设 '!$L$13*50%-F16,IF(G14&gt;0,G14*0.1,0))</f>
        <v>0</v>
      </c>
      <c r="H15" s="414">
        <f ca="1">IF(G16+(IF(H14&gt;0,H14*0.1,0))&gt;'0基本假设 '!$L$13*50%,'0基本假设 '!$L$13*50%-G16,IF(H14&gt;0,H14*0.1,0))</f>
        <v>0</v>
      </c>
      <c r="I15" s="414">
        <f ca="1">IF(H16+(IF(I14&gt;0,I14*0.1,0))&gt;'0基本假设 '!$L$13*50%,'0基本假设 '!$L$13*50%-H16,IF(I14&gt;0,I14*0.1,0))</f>
        <v>0</v>
      </c>
      <c r="J15" s="414">
        <f ca="1">IF(I16+(IF(J14&gt;0,J14*0.1,0))&gt;'0基本假设 '!$L$13*50%,'0基本假设 '!$L$13*50%-I16,IF(J14&gt;0,J14*0.1,0))</f>
        <v>0</v>
      </c>
      <c r="K15" s="414">
        <f ca="1">IF(J16+(IF(K14&gt;0,K14*0.1,0))&gt;'0基本假设 '!$L$13*50%,'0基本假设 '!$L$13*50%-J16,IF(K14&gt;0,K14*0.1,0))</f>
        <v>0</v>
      </c>
      <c r="L15" s="414">
        <f ca="1">IF(K16+(IF(L14&gt;0,L14*0.1,0))&gt;'0基本假设 '!$L$13*50%,'0基本假设 '!$L$13*50%-K16,IF(L14&gt;0,L14*0.1,0))</f>
        <v>0</v>
      </c>
      <c r="M15" s="414">
        <f ca="1">IF(L16+(IF(M14&gt;0,M14*0.1,0))&gt;'0基本假设 '!$L$13*50%,'0基本假设 '!$L$13*50%-L16,IF(M14&gt;0,M14*0.1,0))</f>
        <v>0</v>
      </c>
      <c r="N15" s="414">
        <f ca="1">IF(M16+(IF(N14&gt;0,N14*0.1,0))&gt;'0基本假设 '!$L$13*50%,'0基本假设 '!$L$13*50%-M16,IF(N14&gt;0,N14*0.1,0))</f>
        <v>90.841534688596269</v>
      </c>
      <c r="O15" s="414">
        <f ca="1">IF(N16+(IF(O14&gt;0,O14*0.1,0))&gt;'0基本假设 '!$L$13*50%,'0基本假设 '!$L$13*50%-N16,IF(O14&gt;0,O14*0.1,0))</f>
        <v>96.968604702381867</v>
      </c>
      <c r="P15" s="414">
        <f ca="1">IF(O16+(IF(P14&gt;0,P14*0.1,0))&gt;'0基本假设 '!$L$13*50%,'0基本假设 '!$L$13*50%-O16,IF(P14&gt;0,P14*0.1,0))</f>
        <v>103.18758076637428</v>
      </c>
      <c r="Q15" s="414">
        <f ca="1">IF(P16+(IF(Q14&gt;0,Q14*0.1,0))&gt;'0基本假设 '!$L$13*50%,'0基本假设 '!$L$13*50%-P16,IF(Q14&gt;0,Q14*0.1,0))</f>
        <v>109.49984147132655</v>
      </c>
      <c r="R15" s="414">
        <f ca="1">IF(Q16+(IF(R14&gt;0,R14*0.1,0))&gt;'0基本假设 '!$L$13*50%,'0基本假设 '!$L$13*50%-Q16,IF(R14&gt;0,R14*0.1,0))</f>
        <v>99.502438371321034</v>
      </c>
      <c r="S15" s="414">
        <f ca="1">IF(R16+(IF(S14&gt;0,S14*0.1,0))&gt;'0基本假设 '!$L$13*50%,'0基本假设 '!$L$13*50%-R16,IF(S14&gt;0,S14*0.1,0))</f>
        <v>0</v>
      </c>
      <c r="T15" s="414">
        <f ca="1">IF(S16+(IF(T14&gt;0,T14*0.1,0))&gt;'0基本假设 '!$L$13*50%,'0基本假设 '!$L$13*50%-S16,IF(T14&gt;0,T14*0.1,0))</f>
        <v>0</v>
      </c>
      <c r="U15" s="414">
        <f ca="1">IF(T16+(IF(U14&gt;0,U14*0.1,0))&gt;'0基本假设 '!$L$13*50%,'0基本假设 '!$L$13*50%-T16,IF(U14&gt;0,U14*0.1,0))</f>
        <v>0</v>
      </c>
      <c r="V15" s="414">
        <f ca="1">IF(U16+(IF(V14&gt;0,V14*0.1,0))&gt;'0基本假设 '!$L$13*50%,'0基本假设 '!$L$13*50%-U16,IF(V14&gt;0,V14*0.1,0))</f>
        <v>0</v>
      </c>
      <c r="W15" s="414">
        <f ca="1">IF(V16+(IF(W14&gt;0,W14*0.1,0))&gt;'0基本假设 '!$L$13*50%,'0基本假设 '!$L$13*50%-V16,IF(W14&gt;0,W14*0.1,0))</f>
        <v>0</v>
      </c>
    </row>
    <row r="16" spans="2:100" ht="74.150000000000006" customHeight="1">
      <c r="B16" s="26" t="s">
        <v>158</v>
      </c>
      <c r="C16" s="411"/>
      <c r="D16" s="414">
        <f>D15</f>
        <v>0</v>
      </c>
      <c r="E16" s="414">
        <f ca="1">D16+E15</f>
        <v>0</v>
      </c>
      <c r="F16" s="414">
        <f t="shared" ref="F16" ca="1" si="22">E16+F15</f>
        <v>0</v>
      </c>
      <c r="G16" s="414">
        <f t="shared" ref="G16" ca="1" si="23">F16+G15</f>
        <v>0</v>
      </c>
      <c r="H16" s="414">
        <f t="shared" ref="H16" ca="1" si="24">G16+H15</f>
        <v>0</v>
      </c>
      <c r="I16" s="414">
        <f t="shared" ref="I16" ca="1" si="25">H16+I15</f>
        <v>0</v>
      </c>
      <c r="J16" s="414">
        <f t="shared" ref="J16" ca="1" si="26">I16+J15</f>
        <v>0</v>
      </c>
      <c r="K16" s="414">
        <f t="shared" ref="K16" ca="1" si="27">J16+K15</f>
        <v>0</v>
      </c>
      <c r="L16" s="414">
        <f t="shared" ref="L16" ca="1" si="28">K16+L15</f>
        <v>0</v>
      </c>
      <c r="M16" s="414">
        <f t="shared" ref="M16" ca="1" si="29">L16+M15</f>
        <v>0</v>
      </c>
      <c r="N16" s="414">
        <f t="shared" ref="N16" ca="1" si="30">M16+N15</f>
        <v>90.841534688596269</v>
      </c>
      <c r="O16" s="414">
        <f t="shared" ref="O16" ca="1" si="31">N16+O15</f>
        <v>187.81013939097812</v>
      </c>
      <c r="P16" s="414">
        <f t="shared" ref="P16" ca="1" si="32">O16+P15</f>
        <v>290.99772015735243</v>
      </c>
      <c r="Q16" s="414">
        <f t="shared" ref="Q16" ca="1" si="33">P16+Q15</f>
        <v>400.49756162867897</v>
      </c>
      <c r="R16" s="414">
        <f t="shared" ref="R16" ca="1" si="34">Q16+R15</f>
        <v>500</v>
      </c>
      <c r="S16" s="414">
        <f t="shared" ref="S16" ca="1" si="35">R16+S15</f>
        <v>500</v>
      </c>
      <c r="T16" s="414">
        <f t="shared" ref="T16" ca="1" si="36">S16+T15</f>
        <v>500</v>
      </c>
      <c r="U16" s="414">
        <f t="shared" ref="U16" ca="1" si="37">T16+U15</f>
        <v>500</v>
      </c>
      <c r="V16" s="414">
        <f t="shared" ref="V16" ca="1" si="38">U16+V15</f>
        <v>500</v>
      </c>
      <c r="W16" s="414">
        <f t="shared" ref="W16" ca="1" si="39">V16+W15</f>
        <v>500</v>
      </c>
    </row>
    <row r="17" spans="1:61" ht="18" customHeight="1">
      <c r="B17" s="2" t="s">
        <v>159</v>
      </c>
      <c r="C17" s="411">
        <f ca="1">SUM(D17:W17)</f>
        <v>-3624.3407687300605</v>
      </c>
      <c r="D17" s="414">
        <f ca="1">D12+D13-D15</f>
        <v>0</v>
      </c>
      <c r="E17" s="414">
        <f t="shared" ref="E17:W17" ca="1" si="40">E12+E13-E15</f>
        <v>-100</v>
      </c>
      <c r="F17" s="414">
        <f t="shared" ca="1" si="40"/>
        <v>-100</v>
      </c>
      <c r="G17" s="414">
        <f t="shared" ca="1" si="40"/>
        <v>-2602.565745742766</v>
      </c>
      <c r="H17" s="414">
        <f t="shared" ca="1" si="40"/>
        <v>-1962.4284748868686</v>
      </c>
      <c r="I17" s="414">
        <f t="shared" ca="1" si="40"/>
        <v>-1962.4284748868686</v>
      </c>
      <c r="J17" s="414">
        <f t="shared" ca="1" si="40"/>
        <v>-1857.379949585782</v>
      </c>
      <c r="K17" s="414">
        <f t="shared" ca="1" si="40"/>
        <v>-2032.4608250875899</v>
      </c>
      <c r="L17" s="414">
        <f t="shared" ca="1" si="40"/>
        <v>-2102.493175288314</v>
      </c>
      <c r="M17" s="414">
        <f t="shared" ca="1" si="40"/>
        <v>-2137.5093503886756</v>
      </c>
      <c r="N17" s="414">
        <f t="shared" ca="1" si="40"/>
        <v>817.57381219736635</v>
      </c>
      <c r="O17" s="414">
        <f t="shared" ca="1" si="40"/>
        <v>872.71744232143681</v>
      </c>
      <c r="P17" s="414">
        <f t="shared" ca="1" si="40"/>
        <v>928.68822689736851</v>
      </c>
      <c r="Q17" s="414">
        <f t="shared" ca="1" si="40"/>
        <v>985.49857324193886</v>
      </c>
      <c r="R17" s="414">
        <f t="shared" ca="1" si="40"/>
        <v>1059.5654224972102</v>
      </c>
      <c r="S17" s="414">
        <f t="shared" ca="1" si="40"/>
        <v>1224.0983487161259</v>
      </c>
      <c r="T17" s="414">
        <f t="shared" ca="1" si="40"/>
        <v>1290.1042938814344</v>
      </c>
      <c r="U17" s="414">
        <f t="shared" ca="1" si="40"/>
        <v>1357.1003282242227</v>
      </c>
      <c r="V17" s="414">
        <f t="shared" ca="1" si="40"/>
        <v>1425.1013030821528</v>
      </c>
      <c r="W17" s="414">
        <f t="shared" ca="1" si="40"/>
        <v>1272.4774760775472</v>
      </c>
    </row>
    <row r="18" spans="1:61" s="36" customFormat="1" ht="18" customHeight="1">
      <c r="B18" s="2" t="s">
        <v>160</v>
      </c>
      <c r="C18" s="411">
        <f ca="1">SUM(D18:W18)</f>
        <v>0</v>
      </c>
      <c r="D18" s="416">
        <f t="shared" ref="D18:W18" ca="1" si="41">D12+D13-D15-D17</f>
        <v>0</v>
      </c>
      <c r="E18" s="416">
        <f t="shared" ca="1" si="41"/>
        <v>0</v>
      </c>
      <c r="F18" s="416">
        <f t="shared" ca="1" si="41"/>
        <v>0</v>
      </c>
      <c r="G18" s="416">
        <f t="shared" ca="1" si="41"/>
        <v>0</v>
      </c>
      <c r="H18" s="416">
        <f t="shared" ca="1" si="41"/>
        <v>0</v>
      </c>
      <c r="I18" s="416">
        <f t="shared" ca="1" si="41"/>
        <v>0</v>
      </c>
      <c r="J18" s="416">
        <f t="shared" ca="1" si="41"/>
        <v>0</v>
      </c>
      <c r="K18" s="416">
        <f t="shared" ca="1" si="41"/>
        <v>0</v>
      </c>
      <c r="L18" s="416">
        <f t="shared" ca="1" si="41"/>
        <v>0</v>
      </c>
      <c r="M18" s="416">
        <f t="shared" ca="1" si="41"/>
        <v>0</v>
      </c>
      <c r="N18" s="416">
        <f t="shared" ca="1" si="41"/>
        <v>0</v>
      </c>
      <c r="O18" s="416">
        <f t="shared" ca="1" si="41"/>
        <v>0</v>
      </c>
      <c r="P18" s="416">
        <f t="shared" ca="1" si="41"/>
        <v>0</v>
      </c>
      <c r="Q18" s="416">
        <f t="shared" ca="1" si="41"/>
        <v>0</v>
      </c>
      <c r="R18" s="416">
        <f t="shared" ca="1" si="41"/>
        <v>0</v>
      </c>
      <c r="S18" s="416">
        <f t="shared" ca="1" si="41"/>
        <v>0</v>
      </c>
      <c r="T18" s="416">
        <f t="shared" ca="1" si="41"/>
        <v>0</v>
      </c>
      <c r="U18" s="416">
        <f t="shared" ca="1" si="41"/>
        <v>0</v>
      </c>
      <c r="V18" s="416">
        <f t="shared" ca="1" si="41"/>
        <v>0</v>
      </c>
      <c r="W18" s="416">
        <f t="shared" ca="1" si="41"/>
        <v>0</v>
      </c>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row>
    <row r="19" spans="1:61" ht="18" customHeight="1">
      <c r="B19" s="26" t="s">
        <v>415</v>
      </c>
      <c r="C19" s="411">
        <f ca="1">SUM(D19:W19)</f>
        <v>562.87515650735759</v>
      </c>
      <c r="D19" s="414">
        <f ca="1">'附表7 银行贷款还本付息表'!E26+D8</f>
        <v>0</v>
      </c>
      <c r="E19" s="414">
        <f>'附表7 银行贷款还本付息表'!F26+E8</f>
        <v>-100</v>
      </c>
      <c r="F19" s="414">
        <f>'附表7 银行贷款还本付息表'!G26+F8</f>
        <v>-100</v>
      </c>
      <c r="G19" s="414">
        <f>'附表7 银行贷款还本付息表'!H26+G8</f>
        <v>-2602.565745742766</v>
      </c>
      <c r="H19" s="414">
        <f>'附表7 银行贷款还本付息表'!I26+H8</f>
        <v>-1962.4284748868686</v>
      </c>
      <c r="I19" s="414">
        <f>'附表7 银行贷款还本付息表'!J26+I8</f>
        <v>-1962.4284748868686</v>
      </c>
      <c r="J19" s="414">
        <f>'附表7 银行贷款还本付息表'!K26+J8</f>
        <v>-1857.379949585782</v>
      </c>
      <c r="K19" s="414">
        <f>'附表7 银行贷款还本付息表'!L26+K8</f>
        <v>-2032.4608250875899</v>
      </c>
      <c r="L19" s="414">
        <f>'附表7 银行贷款还本付息表'!M26+L8</f>
        <v>-2102.493175288314</v>
      </c>
      <c r="M19" s="414">
        <f>'附表7 银行贷款还本付息表'!N26+M8</f>
        <v>-2137.5093503886756</v>
      </c>
      <c r="N19" s="414">
        <f>'附表7 银行贷款还本付息表'!O26+N8</f>
        <v>1564.1785968859629</v>
      </c>
      <c r="O19" s="414">
        <f>'附表7 银行贷款还本付息表'!P26+O8</f>
        <v>1564.1785968859626</v>
      </c>
      <c r="P19" s="414">
        <f>'附表7 银行贷款还本付息表'!Q26+P8</f>
        <v>1564.1785968859629</v>
      </c>
      <c r="Q19" s="414">
        <f>'附表7 银行贷款还本付息表'!R26+Q8</f>
        <v>1564.1785968859626</v>
      </c>
      <c r="R19" s="414">
        <f>'附表7 银行贷款还本付息表'!S26+R8</f>
        <v>1564.1785968859626</v>
      </c>
      <c r="S19" s="414">
        <f>'附表7 银行贷款还本付息表'!T26+S8</f>
        <v>1564.1785968859629</v>
      </c>
      <c r="T19" s="414">
        <f>'附表7 银行贷款还本付息表'!U26+T8</f>
        <v>1564.1785968859626</v>
      </c>
      <c r="U19" s="414">
        <f>'附表7 银行贷款还本付息表'!V26+U8</f>
        <v>1564.1785968859629</v>
      </c>
      <c r="V19" s="414">
        <f>'附表7 银行贷款还本付息表'!W26+V8</f>
        <v>1564.1785968859629</v>
      </c>
      <c r="W19" s="414">
        <f>'附表7 银行贷款还本付息表'!X26+W8</f>
        <v>1342.5337804005583</v>
      </c>
    </row>
    <row r="20" spans="1:61" ht="18" customHeight="1">
      <c r="B20" s="26" t="s">
        <v>416</v>
      </c>
      <c r="C20" s="411">
        <f ca="1">SUM(D20:W20)</f>
        <v>107325.85008150738</v>
      </c>
      <c r="D20" s="414">
        <f ca="1">D19+'附表6 资产折旧摊销表'!E15</f>
        <v>0</v>
      </c>
      <c r="E20" s="414">
        <f>E19+'附表6 资产折旧摊销表'!F15</f>
        <v>-100</v>
      </c>
      <c r="F20" s="414">
        <f>F19+'附表6 资产折旧摊销表'!G15</f>
        <v>-100</v>
      </c>
      <c r="G20" s="414">
        <f>G19+'附表6 资产折旧摊销表'!H15</f>
        <v>22689.563680000007</v>
      </c>
      <c r="H20" s="414">
        <f>H19+'附表6 资产折旧摊销表'!I15</f>
        <v>8778.3254720000004</v>
      </c>
      <c r="I20" s="414">
        <f>I19+'附表6 资产折旧摊销表'!J15</f>
        <v>8778.3254720000004</v>
      </c>
      <c r="J20" s="414">
        <f>J19+'附表6 资产折旧摊销表'!K15</f>
        <v>12196.760024000001</v>
      </c>
      <c r="K20" s="414">
        <f>K19+'附表6 资产折旧摊销表'!L15</f>
        <v>6499.3691040000012</v>
      </c>
      <c r="L20" s="414">
        <f>L19+'附表6 资产折旧摊销表'!M15</f>
        <v>4220.4127360000002</v>
      </c>
      <c r="M20" s="414">
        <f>M19+'附表6 资产折旧摊销表'!N15</f>
        <v>3080.9345520000006</v>
      </c>
      <c r="N20" s="414">
        <f>N19+'附表6 资产折旧摊销表'!O15</f>
        <v>1941.4563680000001</v>
      </c>
      <c r="O20" s="414">
        <f>O19+'附表6 资产折旧摊销表'!P15</f>
        <v>1941.4563679999999</v>
      </c>
      <c r="P20" s="414">
        <f>P19+'附表6 资产折旧摊销表'!Q15</f>
        <v>1941.4563680000001</v>
      </c>
      <c r="Q20" s="414">
        <f>Q19+'附表6 资产折旧摊销表'!R15</f>
        <v>1941.4563679999999</v>
      </c>
      <c r="R20" s="414">
        <f>R19+'附表6 资产折旧摊销表'!S15</f>
        <v>1941.4563679999999</v>
      </c>
      <c r="S20" s="414">
        <f>S19+'附表6 资产折旧摊销表'!T15</f>
        <v>1941.4563680000001</v>
      </c>
      <c r="T20" s="414">
        <f>T19+'附表6 资产折旧摊销表'!U15</f>
        <v>1941.4563679999999</v>
      </c>
      <c r="U20" s="414">
        <f>U19+'附表6 资产折旧摊销表'!V15</f>
        <v>1941.4563680000001</v>
      </c>
      <c r="V20" s="414">
        <f>V19+'附表6 资产折旧摊销表'!W15</f>
        <v>1941.4563680000001</v>
      </c>
      <c r="W20" s="414">
        <f>W19+'附表6 资产折旧摊销表'!X15</f>
        <v>23809.051729507359</v>
      </c>
    </row>
    <row r="21" spans="1:61" ht="18" customHeight="1">
      <c r="B21" s="39"/>
      <c r="C21" s="8"/>
      <c r="D21" s="40"/>
      <c r="E21" s="40"/>
      <c r="F21" s="40"/>
      <c r="G21" s="40"/>
      <c r="H21" s="40"/>
      <c r="I21" s="40"/>
      <c r="J21" s="40"/>
      <c r="K21" s="40"/>
      <c r="L21" s="40"/>
      <c r="M21" s="40"/>
      <c r="N21" s="40"/>
      <c r="O21" s="40"/>
      <c r="P21" s="48"/>
      <c r="Q21" s="48"/>
      <c r="R21" s="48"/>
      <c r="S21" s="327"/>
      <c r="T21" s="327"/>
      <c r="U21" s="327"/>
      <c r="V21" s="327"/>
      <c r="W21" s="328"/>
    </row>
    <row r="22" spans="1:61" s="37" customFormat="1" ht="13" hidden="1">
      <c r="A22" s="41"/>
      <c r="B22" s="775" t="s">
        <v>163</v>
      </c>
      <c r="C22" s="778" t="s">
        <v>164</v>
      </c>
      <c r="D22" s="779"/>
      <c r="E22" s="42"/>
      <c r="F22" s="42"/>
      <c r="G22" s="42"/>
      <c r="H22" s="42"/>
      <c r="I22" s="42"/>
      <c r="J22" s="42"/>
      <c r="K22" s="42"/>
      <c r="L22" s="42"/>
      <c r="M22" s="43"/>
      <c r="N22" s="44">
        <f t="shared" ref="N22:Q22" si="42">IF(N8&lt;0,N8,0)</f>
        <v>0</v>
      </c>
      <c r="O22" s="44">
        <f t="shared" si="42"/>
        <v>0</v>
      </c>
      <c r="P22" s="44">
        <f t="shared" si="42"/>
        <v>0</v>
      </c>
      <c r="Q22" s="44">
        <f t="shared" si="42"/>
        <v>0</v>
      </c>
      <c r="R22" s="376"/>
      <c r="W22" s="329"/>
    </row>
    <row r="23" spans="1:61" s="37" customFormat="1" ht="45" hidden="1" customHeight="1">
      <c r="A23" s="41"/>
      <c r="B23" s="776"/>
      <c r="C23" s="780" t="s">
        <v>165</v>
      </c>
      <c r="D23" s="781"/>
      <c r="E23" s="45"/>
      <c r="F23" s="45"/>
      <c r="G23" s="45"/>
      <c r="H23" s="45"/>
      <c r="I23" s="45"/>
      <c r="J23" s="45"/>
      <c r="K23" s="45"/>
      <c r="L23" s="45"/>
      <c r="M23" s="46"/>
      <c r="N23" s="44">
        <f t="shared" ref="N23:Q23" ca="1" si="43">N9</f>
        <v>908.41534688596266</v>
      </c>
      <c r="O23" s="44">
        <f t="shared" ca="1" si="43"/>
        <v>969.68604702381867</v>
      </c>
      <c r="P23" s="44">
        <f t="shared" ca="1" si="43"/>
        <v>1031.8758076637428</v>
      </c>
      <c r="Q23" s="44">
        <f t="shared" ca="1" si="43"/>
        <v>1094.9984147132654</v>
      </c>
      <c r="R23" s="376"/>
      <c r="W23" s="329"/>
    </row>
    <row r="24" spans="1:61" s="37" customFormat="1" ht="13" hidden="1">
      <c r="A24" s="41"/>
      <c r="B24" s="776"/>
      <c r="C24" s="778" t="s">
        <v>166</v>
      </c>
      <c r="D24" s="779"/>
      <c r="E24" s="42"/>
      <c r="F24" s="42"/>
      <c r="G24" s="42"/>
      <c r="H24" s="42"/>
      <c r="I24" s="42"/>
      <c r="J24" s="42"/>
      <c r="K24" s="42"/>
      <c r="L24" s="42"/>
      <c r="M24" s="46"/>
      <c r="N24" s="44">
        <f>IF(N22&lt;0,SUMIF(O8:Q8,"&gt;0"),0)</f>
        <v>0</v>
      </c>
      <c r="O24" s="44">
        <f>IF(O22&lt;0,SUMIF(P8:Q8,"&gt;0"),0)</f>
        <v>0</v>
      </c>
      <c r="P24" s="44">
        <f>IF(P22&lt;0,SUMIF(Q8:Q8,"&gt;0"),0)</f>
        <v>0</v>
      </c>
      <c r="Q24" s="44">
        <f>IF(Q22&lt;0,SUMIF(#REF!,"&gt;0"),0)</f>
        <v>0</v>
      </c>
      <c r="R24" s="376"/>
      <c r="W24" s="329"/>
    </row>
    <row r="25" spans="1:61" s="37" customFormat="1" ht="13" hidden="1">
      <c r="A25" s="41"/>
      <c r="B25" s="776"/>
      <c r="C25" s="778" t="s">
        <v>167</v>
      </c>
      <c r="D25" s="779"/>
      <c r="E25" s="42"/>
      <c r="F25" s="42"/>
      <c r="G25" s="42"/>
      <c r="H25" s="42"/>
      <c r="I25" s="42"/>
      <c r="J25" s="42"/>
      <c r="K25" s="42"/>
      <c r="L25" s="42"/>
      <c r="M25" s="46"/>
      <c r="N25" s="44"/>
      <c r="O25" s="44"/>
      <c r="P25" s="44"/>
      <c r="Q25" s="44"/>
      <c r="R25" s="376"/>
      <c r="W25" s="329"/>
    </row>
    <row r="26" spans="1:61" s="37" customFormat="1" ht="13" hidden="1">
      <c r="A26" s="41"/>
      <c r="B26" s="776"/>
      <c r="C26" s="778" t="s">
        <v>168</v>
      </c>
      <c r="D26" s="779"/>
      <c r="E26" s="42"/>
      <c r="F26" s="42"/>
      <c r="G26" s="42"/>
      <c r="H26" s="42"/>
      <c r="I26" s="42"/>
      <c r="J26" s="42"/>
      <c r="K26" s="42"/>
      <c r="L26" s="42"/>
      <c r="M26" s="46"/>
      <c r="N26" s="44">
        <f>IF(N24-N25&lt;=ABS(N22),N24-N25,ABS(N22))</f>
        <v>0</v>
      </c>
      <c r="O26" s="44">
        <f t="shared" ref="O26:Q26" si="44">IF(O24-O25&lt;=ABS(O22),O24-O25,ABS(O22))</f>
        <v>0</v>
      </c>
      <c r="P26" s="44">
        <f t="shared" si="44"/>
        <v>0</v>
      </c>
      <c r="Q26" s="44">
        <f t="shared" si="44"/>
        <v>0</v>
      </c>
      <c r="R26" s="376"/>
      <c r="W26" s="329"/>
    </row>
    <row r="27" spans="1:61" s="37" customFormat="1" ht="13" hidden="1">
      <c r="A27" s="41"/>
      <c r="B27" s="776"/>
      <c r="C27" s="778" t="s">
        <v>169</v>
      </c>
      <c r="D27" s="779"/>
      <c r="E27" s="42"/>
      <c r="F27" s="42"/>
      <c r="G27" s="42"/>
      <c r="H27" s="42"/>
      <c r="I27" s="42"/>
      <c r="J27" s="42"/>
      <c r="K27" s="42"/>
      <c r="L27" s="42"/>
      <c r="M27" s="46"/>
      <c r="N27" s="44">
        <f>N22+N26</f>
        <v>0</v>
      </c>
      <c r="O27" s="44">
        <f t="shared" ref="O27:Q27" si="45">O22+O26</f>
        <v>0</v>
      </c>
      <c r="P27" s="44">
        <f t="shared" si="45"/>
        <v>0</v>
      </c>
      <c r="Q27" s="44">
        <f t="shared" si="45"/>
        <v>0</v>
      </c>
      <c r="R27" s="376"/>
      <c r="W27" s="329"/>
    </row>
    <row r="28" spans="1:61" s="37" customFormat="1" ht="13" hidden="1">
      <c r="A28" s="41"/>
      <c r="B28" s="777"/>
      <c r="C28" s="778" t="s">
        <v>170</v>
      </c>
      <c r="D28" s="779"/>
      <c r="E28" s="42"/>
      <c r="F28" s="42"/>
      <c r="G28" s="42"/>
      <c r="H28" s="42"/>
      <c r="I28" s="42"/>
      <c r="J28" s="42"/>
      <c r="K28" s="42"/>
      <c r="L28" s="42"/>
      <c r="M28" s="46"/>
      <c r="N28" s="44">
        <f ca="1">M28+N22+N23</f>
        <v>908.41534688596266</v>
      </c>
      <c r="O28" s="44">
        <f t="shared" ref="O28:Q28" ca="1" si="46">N28+O22+O23</f>
        <v>1878.1013939097813</v>
      </c>
      <c r="P28" s="44">
        <f t="shared" ca="1" si="46"/>
        <v>2909.9772015735243</v>
      </c>
      <c r="Q28" s="44">
        <f t="shared" ca="1" si="46"/>
        <v>4004.9756162867898</v>
      </c>
      <c r="R28" s="376"/>
      <c r="W28" s="329"/>
    </row>
    <row r="29" spans="1:61" ht="19.399999999999999" hidden="1" customHeight="1">
      <c r="W29" s="330"/>
    </row>
    <row r="30" spans="1:61" ht="32.5" customHeight="1">
      <c r="B30" s="773" t="s">
        <v>171</v>
      </c>
      <c r="C30" s="774"/>
      <c r="D30" s="774"/>
      <c r="E30" s="774"/>
      <c r="F30" s="774"/>
      <c r="G30" s="774"/>
      <c r="H30" s="774"/>
      <c r="I30" s="774"/>
      <c r="J30" s="774"/>
      <c r="K30" s="774"/>
      <c r="L30" s="774"/>
      <c r="M30" s="774"/>
      <c r="N30" s="774"/>
      <c r="O30" s="774"/>
      <c r="P30" s="774"/>
      <c r="Q30" s="774"/>
      <c r="R30" s="369"/>
      <c r="W30" s="330"/>
    </row>
    <row r="31" spans="1:61" ht="40" customHeight="1">
      <c r="B31" s="489" t="s">
        <v>732</v>
      </c>
      <c r="C31" s="47"/>
      <c r="D31" s="47"/>
      <c r="E31" s="47"/>
      <c r="F31" s="47"/>
      <c r="G31" s="47"/>
      <c r="H31" s="47"/>
      <c r="I31" s="47"/>
      <c r="J31" s="47"/>
      <c r="K31" s="47"/>
      <c r="L31" s="47"/>
      <c r="M31" s="47"/>
      <c r="N31" s="47"/>
      <c r="O31" s="47"/>
      <c r="S31" s="331"/>
      <c r="T31" s="331"/>
      <c r="U31" s="331"/>
      <c r="V31" s="331"/>
      <c r="W31" s="332"/>
    </row>
    <row r="32" spans="1:61" s="507" customFormat="1" ht="18" customHeight="1">
      <c r="B32" s="23" t="s">
        <v>573</v>
      </c>
      <c r="C32" s="15" t="s">
        <v>92</v>
      </c>
      <c r="D32" s="484" t="s">
        <v>477</v>
      </c>
      <c r="E32" s="484" t="s">
        <v>478</v>
      </c>
      <c r="F32" s="484" t="s">
        <v>479</v>
      </c>
      <c r="G32" s="484" t="s">
        <v>480</v>
      </c>
      <c r="H32" s="484" t="s">
        <v>483</v>
      </c>
      <c r="I32" s="484" t="s">
        <v>484</v>
      </c>
      <c r="J32" s="484" t="s">
        <v>485</v>
      </c>
      <c r="K32" s="484" t="s">
        <v>486</v>
      </c>
      <c r="L32" s="484" t="s">
        <v>487</v>
      </c>
      <c r="M32" s="484" t="s">
        <v>488</v>
      </c>
      <c r="N32" s="484" t="s">
        <v>489</v>
      </c>
      <c r="O32" s="484" t="s">
        <v>490</v>
      </c>
      <c r="P32" s="484" t="s">
        <v>491</v>
      </c>
      <c r="Q32" s="484" t="s">
        <v>492</v>
      </c>
      <c r="R32" s="484" t="s">
        <v>507</v>
      </c>
      <c r="S32" s="484" t="s">
        <v>508</v>
      </c>
      <c r="T32" s="484" t="s">
        <v>509</v>
      </c>
      <c r="U32" s="484" t="s">
        <v>510</v>
      </c>
      <c r="V32" s="484" t="s">
        <v>511</v>
      </c>
      <c r="W32" s="484" t="s">
        <v>512</v>
      </c>
    </row>
    <row r="33" spans="2:23" ht="18" customHeight="1">
      <c r="B33" s="13" t="s">
        <v>149</v>
      </c>
      <c r="C33" s="417">
        <f t="shared" ref="C33:C44" si="47">SUM(D33:W33)</f>
        <v>115945.07200000001</v>
      </c>
      <c r="D33" s="418">
        <f>'3.1销售情况分析'!G3</f>
        <v>0</v>
      </c>
      <c r="E33" s="418">
        <f>'3.1销售情况分析'!H3</f>
        <v>0</v>
      </c>
      <c r="F33" s="418">
        <f>'3.1销售情况分析'!I3</f>
        <v>0</v>
      </c>
      <c r="G33" s="418">
        <f>'3.1销售情况分析'!J3</f>
        <v>23989.014400000007</v>
      </c>
      <c r="H33" s="418">
        <f>'3.1销售情况分析'!K3</f>
        <v>9345.6057600000004</v>
      </c>
      <c r="I33" s="418">
        <f>'3.1销售情况分析'!L3</f>
        <v>9345.6057600000004</v>
      </c>
      <c r="J33" s="418">
        <f>'3.1销售情况分析'!M3</f>
        <v>12943.957920000001</v>
      </c>
      <c r="K33" s="418">
        <f>'3.1销售情况分析'!N3</f>
        <v>6946.7043200000007</v>
      </c>
      <c r="L33" s="418">
        <f>'3.1销售情况分析'!O3</f>
        <v>4547.8028800000002</v>
      </c>
      <c r="M33" s="418">
        <f>'3.1销售情况分析'!P3</f>
        <v>3348.3521600000004</v>
      </c>
      <c r="N33" s="418">
        <f>'3.1销售情况分析'!Q3</f>
        <v>2148.9014400000001</v>
      </c>
      <c r="O33" s="418">
        <f>'3.1销售情况分析'!R3</f>
        <v>2148.9014400000001</v>
      </c>
      <c r="P33" s="418">
        <f>'3.1销售情况分析'!S3</f>
        <v>2148.9014400000001</v>
      </c>
      <c r="Q33" s="418">
        <f>'3.1销售情况分析'!T3</f>
        <v>2148.9014400000001</v>
      </c>
      <c r="R33" s="418">
        <f>'3.1销售情况分析'!U3</f>
        <v>2148.9014400000001</v>
      </c>
      <c r="S33" s="418">
        <f>'3.1销售情况分析'!V3</f>
        <v>2148.9014400000001</v>
      </c>
      <c r="T33" s="418">
        <f>'3.1销售情况分析'!W3</f>
        <v>2148.9014400000001</v>
      </c>
      <c r="U33" s="418">
        <f>'3.1销售情况分析'!X3</f>
        <v>2148.9014400000001</v>
      </c>
      <c r="V33" s="418">
        <f>'3.1销售情况分析'!Y3</f>
        <v>2148.9014400000001</v>
      </c>
      <c r="W33" s="418">
        <f>'3.1销售情况分析'!Z3</f>
        <v>26137.915840000001</v>
      </c>
    </row>
    <row r="34" spans="2:23" ht="18" customHeight="1">
      <c r="B34" s="26" t="s">
        <v>150</v>
      </c>
      <c r="C34" s="417">
        <f t="shared" ca="1" si="47"/>
        <v>921.96831849264277</v>
      </c>
      <c r="D34" s="418">
        <f t="shared" ref="D34:W34" ca="1" si="48">D5</f>
        <v>0</v>
      </c>
      <c r="E34" s="418">
        <f t="shared" si="48"/>
        <v>0</v>
      </c>
      <c r="F34" s="418">
        <f t="shared" si="48"/>
        <v>0</v>
      </c>
      <c r="G34" s="418">
        <f t="shared" si="48"/>
        <v>0</v>
      </c>
      <c r="H34" s="418">
        <f t="shared" si="48"/>
        <v>0</v>
      </c>
      <c r="I34" s="418">
        <f t="shared" si="48"/>
        <v>0</v>
      </c>
      <c r="J34" s="418">
        <f t="shared" si="48"/>
        <v>0</v>
      </c>
      <c r="K34" s="418">
        <f t="shared" si="48"/>
        <v>0</v>
      </c>
      <c r="L34" s="418">
        <f t="shared" si="48"/>
        <v>0</v>
      </c>
      <c r="M34" s="418">
        <f t="shared" si="48"/>
        <v>0</v>
      </c>
      <c r="N34" s="418">
        <f t="shared" si="48"/>
        <v>0</v>
      </c>
      <c r="O34" s="418">
        <f t="shared" si="48"/>
        <v>0</v>
      </c>
      <c r="P34" s="418">
        <f t="shared" si="48"/>
        <v>0</v>
      </c>
      <c r="Q34" s="418">
        <f t="shared" si="48"/>
        <v>0</v>
      </c>
      <c r="R34" s="418">
        <f t="shared" si="48"/>
        <v>0</v>
      </c>
      <c r="S34" s="418">
        <f t="shared" si="48"/>
        <v>0</v>
      </c>
      <c r="T34" s="418">
        <f t="shared" si="48"/>
        <v>0</v>
      </c>
      <c r="U34" s="418">
        <f t="shared" si="48"/>
        <v>0</v>
      </c>
      <c r="V34" s="418">
        <f t="shared" si="48"/>
        <v>0</v>
      </c>
      <c r="W34" s="418">
        <f t="shared" si="48"/>
        <v>921.96831849264277</v>
      </c>
    </row>
    <row r="35" spans="2:23" ht="12">
      <c r="B35" s="26" t="s">
        <v>151</v>
      </c>
      <c r="C35" s="417">
        <f t="shared" si="47"/>
        <v>114460.22852500004</v>
      </c>
      <c r="D35" s="418">
        <f>'附表8 总成本估算表'!E7-'附表8 总成本估算表'!E5</f>
        <v>0</v>
      </c>
      <c r="E35" s="418">
        <f>'附表8 总成本估算表'!F7-'附表8 总成本估算表'!F5</f>
        <v>100</v>
      </c>
      <c r="F35" s="418">
        <f>'附表8 总成本估算表'!G7-'附表8 总成本估算表'!G5</f>
        <v>100</v>
      </c>
      <c r="G35" s="418">
        <f>'附表8 总成本估算表'!H7-'附表8 总成本估算表'!H5</f>
        <v>26591.580145742773</v>
      </c>
      <c r="H35" s="418">
        <f>'附表8 总成本估算表'!I7-'附表8 总成本估算表'!I5</f>
        <v>11308.034234886869</v>
      </c>
      <c r="I35" s="418">
        <f>'附表8 总成本估算表'!J7-'附表8 总成本估算表'!J5</f>
        <v>11308.034234886869</v>
      </c>
      <c r="J35" s="418">
        <f>'附表8 总成本估算表'!K7-'附表8 总成本估算表'!K5</f>
        <v>14801.337869585783</v>
      </c>
      <c r="K35" s="418">
        <f>'附表8 总成本估算表'!L7-'附表8 总成本估算表'!L5</f>
        <v>8979.1651450875906</v>
      </c>
      <c r="L35" s="418">
        <f>'附表8 总成本估算表'!M7-'附表8 总成本估算表'!M5</f>
        <v>6650.2960552883142</v>
      </c>
      <c r="M35" s="418">
        <f>'附表8 总成本估算表'!N7-'附表8 总成本估算表'!N5</f>
        <v>5485.8615103886759</v>
      </c>
      <c r="N35" s="418">
        <f>'附表8 总成本估算表'!O7-'附表8 总成本估算表'!O5</f>
        <v>584.72284311403723</v>
      </c>
      <c r="O35" s="418">
        <f>'附表8 总成本估算表'!P7-'附表8 总成本估算表'!P5</f>
        <v>584.72284311403735</v>
      </c>
      <c r="P35" s="418">
        <f>'附表8 总成本估算表'!Q7-'附表8 总成本估算表'!Q5</f>
        <v>584.72284311403723</v>
      </c>
      <c r="Q35" s="418">
        <f>'附表8 总成本估算表'!R7-'附表8 总成本估算表'!R5</f>
        <v>584.72284311403735</v>
      </c>
      <c r="R35" s="418">
        <f>'附表8 总成本估算表'!S7-'附表8 总成本估算表'!S5</f>
        <v>584.72284311403735</v>
      </c>
      <c r="S35" s="418">
        <f>'附表8 总成本估算表'!T7-'附表8 总成本估算表'!T5</f>
        <v>584.72284311403723</v>
      </c>
      <c r="T35" s="418">
        <f>'附表8 总成本估算表'!U7-'附表8 总成本估算表'!U5</f>
        <v>584.72284311403746</v>
      </c>
      <c r="U35" s="418">
        <f>'附表8 总成本估算表'!V7-'附表8 总成本估算表'!V5</f>
        <v>584.72284311403723</v>
      </c>
      <c r="V35" s="418">
        <f>'附表8 总成本估算表'!W7-'附表8 总成本估算表'!W5</f>
        <v>584.72284311403735</v>
      </c>
      <c r="W35" s="418">
        <f>'附表8 总成本估算表'!X7-'附表8 总成本估算表'!X5</f>
        <v>23873.4137411068</v>
      </c>
    </row>
    <row r="36" spans="2:23" ht="12">
      <c r="B36" s="26" t="s">
        <v>383</v>
      </c>
      <c r="C36" s="417">
        <f t="shared" si="47"/>
        <v>0</v>
      </c>
      <c r="D36" s="418">
        <f>附表3营业收入汇总表!D6</f>
        <v>0</v>
      </c>
      <c r="E36" s="418">
        <f>附表3营业收入汇总表!E6</f>
        <v>0</v>
      </c>
      <c r="F36" s="418">
        <f>附表3营业收入汇总表!F6</f>
        <v>0</v>
      </c>
      <c r="G36" s="418">
        <f>附表3营业收入汇总表!G6</f>
        <v>0</v>
      </c>
      <c r="H36" s="418">
        <f>附表3营业收入汇总表!H6</f>
        <v>0</v>
      </c>
      <c r="I36" s="418">
        <f>附表3营业收入汇总表!I6</f>
        <v>0</v>
      </c>
      <c r="J36" s="418">
        <f>附表3营业收入汇总表!J6</f>
        <v>0</v>
      </c>
      <c r="K36" s="418">
        <f>附表3营业收入汇总表!K6</f>
        <v>0</v>
      </c>
      <c r="L36" s="418">
        <f>附表3营业收入汇总表!L6</f>
        <v>0</v>
      </c>
      <c r="M36" s="418">
        <f>附表3营业收入汇总表!M6</f>
        <v>0</v>
      </c>
      <c r="N36" s="418">
        <f>附表3营业收入汇总表!N6</f>
        <v>0</v>
      </c>
      <c r="O36" s="418">
        <f>附表3营业收入汇总表!O6</f>
        <v>0</v>
      </c>
      <c r="P36" s="418">
        <f>附表3营业收入汇总表!P6</f>
        <v>0</v>
      </c>
      <c r="Q36" s="418">
        <f>附表3营业收入汇总表!Q6</f>
        <v>0</v>
      </c>
      <c r="R36" s="418">
        <f>附表3营业收入汇总表!R6</f>
        <v>0</v>
      </c>
      <c r="S36" s="418">
        <f>附表3营业收入汇总表!S6</f>
        <v>0</v>
      </c>
      <c r="T36" s="418">
        <f>附表3营业收入汇总表!T6</f>
        <v>0</v>
      </c>
      <c r="U36" s="418">
        <f>附表3营业收入汇总表!U6</f>
        <v>0</v>
      </c>
      <c r="V36" s="418">
        <f>附表3营业收入汇总表!V6</f>
        <v>0</v>
      </c>
      <c r="W36" s="418">
        <f>附表3营业收入汇总表!W6</f>
        <v>0</v>
      </c>
    </row>
    <row r="37" spans="2:23" ht="18" customHeight="1">
      <c r="B37" s="13" t="s">
        <v>152</v>
      </c>
      <c r="C37" s="417">
        <f t="shared" ca="1" si="47"/>
        <v>562.87515650735668</v>
      </c>
      <c r="D37" s="418">
        <f ca="1">D33-D34-D35+D36</f>
        <v>0</v>
      </c>
      <c r="E37" s="418">
        <f t="shared" ref="E37:W37" si="49">E33-E34-E35+E36</f>
        <v>-100</v>
      </c>
      <c r="F37" s="418">
        <f t="shared" si="49"/>
        <v>-100</v>
      </c>
      <c r="G37" s="418">
        <f t="shared" si="49"/>
        <v>-2602.565745742766</v>
      </c>
      <c r="H37" s="418">
        <f t="shared" si="49"/>
        <v>-1962.4284748868686</v>
      </c>
      <c r="I37" s="418">
        <f t="shared" si="49"/>
        <v>-1962.4284748868686</v>
      </c>
      <c r="J37" s="418">
        <f t="shared" si="49"/>
        <v>-1857.379949585782</v>
      </c>
      <c r="K37" s="418">
        <f t="shared" si="49"/>
        <v>-2032.4608250875899</v>
      </c>
      <c r="L37" s="418">
        <f t="shared" si="49"/>
        <v>-2102.493175288314</v>
      </c>
      <c r="M37" s="418">
        <f t="shared" si="49"/>
        <v>-2137.5093503886756</v>
      </c>
      <c r="N37" s="418">
        <f t="shared" si="49"/>
        <v>1564.1785968859629</v>
      </c>
      <c r="O37" s="418">
        <f t="shared" si="49"/>
        <v>1564.1785968859626</v>
      </c>
      <c r="P37" s="418">
        <f t="shared" si="49"/>
        <v>1564.1785968859629</v>
      </c>
      <c r="Q37" s="418">
        <f t="shared" si="49"/>
        <v>1564.1785968859626</v>
      </c>
      <c r="R37" s="418">
        <f t="shared" si="49"/>
        <v>1564.1785968859626</v>
      </c>
      <c r="S37" s="418">
        <f t="shared" si="49"/>
        <v>1564.1785968859629</v>
      </c>
      <c r="T37" s="418">
        <f t="shared" si="49"/>
        <v>1564.1785968859626</v>
      </c>
      <c r="U37" s="418">
        <f t="shared" si="49"/>
        <v>1564.1785968859629</v>
      </c>
      <c r="V37" s="418">
        <f t="shared" si="49"/>
        <v>1564.1785968859626</v>
      </c>
      <c r="W37" s="418">
        <f t="shared" si="49"/>
        <v>1342.5337804005576</v>
      </c>
    </row>
    <row r="38" spans="2:23" ht="18" customHeight="1">
      <c r="B38" s="13" t="s">
        <v>153</v>
      </c>
      <c r="C38" s="417">
        <f t="shared" ca="1" si="47"/>
        <v>14857.265995866863</v>
      </c>
      <c r="D38" s="418">
        <f ca="1">IF(D37&lt;0,0,IF(AND(SUM( C$37:$D37)&lt;0,ABS(SUM( C$37:$D37))&gt;D37),D37,IF(AND(SUM( C$37:$D37)&lt;0,ABS(SUM( C$37:$D37))&lt;D37),ABS(SUM( C$37:$D37)),0)))</f>
        <v>0</v>
      </c>
      <c r="E38" s="418">
        <f>IF(E37&lt;0,0,IF(AND(SUM( $D$37:D37)&lt;0,ABS(SUM( $D$37:D37))&gt;E37),E37,IF(AND(SUM( $D$37:D37)&lt;0,ABS(SUM( $D$37:D37))&lt;E37),ABS(SUM( $D$37:D37)),0)))</f>
        <v>0</v>
      </c>
      <c r="F38" s="418">
        <f>IF(F37&lt;0,0,IF(AND(SUM( $D$37:E37)&lt;0,ABS(SUM( $D$37:E37))&gt;F37),F37,IF(AND(SUM( $D$37:E37)&lt;0,ABS(SUM( $D$37:E37))&lt;F37),ABS(SUM( $D$37:E37)),0)))</f>
        <v>0</v>
      </c>
      <c r="G38" s="418">
        <f>IF(G37&lt;0,0,IF(AND(SUM( $D$37:F37)&lt;0,ABS(SUM( $D$37:F37))&gt;G37),G37,IF(AND(SUM( $D$37:F37)&lt;0,ABS(SUM( $D$37:F37))&lt;G37),ABS(SUM( $D$37:F37)),0)))</f>
        <v>0</v>
      </c>
      <c r="H38" s="418">
        <f>IF(H37&lt;0,0,IF(AND(SUM( $D$37:G37)&lt;0,ABS(SUM( $D$37:G37))&gt;H37),H37,IF(AND(SUM( $D$37:G37)&lt;0,ABS(SUM( $D$37:G37))&lt;H37),ABS(SUM( $D$37:G37)),0)))</f>
        <v>0</v>
      </c>
      <c r="I38" s="418">
        <f>IF(I37&lt;0,0,IF(AND(SUM( $D$37:H37)&lt;0,ABS(SUM( $D$37:H37))&gt;I37),I37,IF(AND(SUM( $D$37:H37)&lt;0,ABS(SUM( $D$37:H37))&lt;I37),ABS(SUM( $D$37:H37)),0)))</f>
        <v>0</v>
      </c>
      <c r="J38" s="418">
        <f>IF(J37&lt;0,0,IF(AND(SUM( $D$37:I37)&lt;0,ABS(SUM( $D$37:I37))&gt;J37),J37,IF(AND(SUM( $D$37:I37)&lt;0,ABS(SUM( $D$37:I37))&lt;J37),ABS(SUM( $D$37:I37)),0)))</f>
        <v>0</v>
      </c>
      <c r="K38" s="418">
        <f>IF(K37&lt;0,0,IF(AND(SUM( $D$37:J37)&lt;0,ABS(SUM( $D$37:J37))&gt;K37),K37,IF(AND(SUM( $D$37:J37)&lt;0,ABS(SUM( $D$37:J37))&lt;K37),ABS(SUM( $D$37:J37)),0)))</f>
        <v>0</v>
      </c>
      <c r="L38" s="418">
        <f>IF(L37&lt;0,0,IF(AND(SUM( $D$37:K37)&lt;0,ABS(SUM( $D$37:K37))&gt;L37),L37,IF(AND(SUM( $D$37:K37)&lt;0,ABS(SUM( $D$37:K37))&lt;L37),ABS(SUM( $D$37:K37)),0)))</f>
        <v>0</v>
      </c>
      <c r="M38" s="418">
        <f>IF(M37&lt;0,0,IF(AND(SUM( $D$37:L37)&lt;0,ABS(SUM( $D$37:L37))&gt;M37),M37,IF(AND(SUM( $D$37:L37)&lt;0,ABS(SUM( $D$37:L37))&lt;M37),ABS(SUM( $D$37:L37)),0)))</f>
        <v>0</v>
      </c>
      <c r="N38" s="418">
        <f ca="1">IF(N37&lt;0,0,IF(AND(SUM( $D$37:M37)&lt;0,ABS(SUM( $D$37:M37))&gt;N37),N37,IF(AND(SUM( $D$37:M37)&lt;0,ABS(SUM( $D$37:M37))&lt;N37),ABS(SUM( $D$37:M37)),0)))</f>
        <v>1564.1785968859629</v>
      </c>
      <c r="O38" s="418">
        <f ca="1">IF(O37&lt;0,0,IF(AND(SUM( $D$37:N37)&lt;0,ABS(SUM( $D$37:N37))&gt;O37),O37,IF(AND(SUM( $D$37:N37)&lt;0,ABS(SUM( $D$37:N37))&lt;O37),ABS(SUM( $D$37:N37)),0)))</f>
        <v>1564.1785968859626</v>
      </c>
      <c r="P38" s="418">
        <f ca="1">IF(P37&lt;0,0,IF(AND(SUM( $D$37:O37)&lt;0,ABS(SUM( $D$37:O37))&gt;P37),P37,IF(AND(SUM( $D$37:O37)&lt;0,ABS(SUM( $D$37:O37))&lt;P37),ABS(SUM( $D$37:O37)),0)))</f>
        <v>1564.1785968859629</v>
      </c>
      <c r="Q38" s="418">
        <f ca="1">IF(Q37&lt;0,0,IF(AND(SUM( $D$37:P37)&lt;0,ABS(SUM( $D$37:P37))&gt;Q37),Q37,IF(AND(SUM( $D$37:P37)&lt;0,ABS(SUM( $D$37:P37))&lt;Q37),ABS(SUM( $D$37:P37)),0)))</f>
        <v>1564.1785968859626</v>
      </c>
      <c r="R38" s="418">
        <f ca="1">IF(R37&lt;0,0,IF(AND(SUM( $D$37:Q37)&lt;0,ABS(SUM( $D$37:Q37))&gt;R37),R37,IF(AND(SUM( $D$37:Q37)&lt;0,ABS(SUM( $D$37:Q37))&lt;R37),ABS(SUM( $D$37:Q37)),0)))</f>
        <v>1564.1785968859626</v>
      </c>
      <c r="S38" s="418">
        <f ca="1">IF(S37&lt;0,0,IF(AND(SUM( $D$37:R37)&lt;0,ABS(SUM( $D$37:R37))&gt;S37),S37,IF(AND(SUM( $D$37:R37)&lt;0,ABS(SUM( $D$37:R37))&lt;S37),ABS(SUM( $D$37:R37)),0)))</f>
        <v>1564.1785968859629</v>
      </c>
      <c r="T38" s="418">
        <f ca="1">IF(T37&lt;0,0,IF(AND(SUM( $D$37:S37)&lt;0,ABS(SUM( $D$37:S37))&gt;T37),T37,IF(AND(SUM( $D$37:S37)&lt;0,ABS(SUM( $D$37:S37))&lt;T37),ABS(SUM( $D$37:S37)),0)))</f>
        <v>1564.1785968859626</v>
      </c>
      <c r="U38" s="418">
        <f ca="1">IF(U37&lt;0,0,IF(AND(SUM( $D$37:T37)&lt;0,ABS(SUM( $D$37:T37))&gt;U37),U37,IF(AND(SUM( $D$37:T37)&lt;0,ABS(SUM( $D$37:T37))&lt;U37),ABS(SUM( $D$37:T37)),0)))</f>
        <v>1564.1785968859629</v>
      </c>
      <c r="V38" s="418">
        <f ca="1">IF(V37&lt;0,0,IF(AND(SUM( $D$37:U37)&lt;0,ABS(SUM( $D$37:U37))&gt;V37),V37,IF(AND(SUM( $D$37:U37)&lt;0,ABS(SUM( $D$37:U37))&lt;V37),ABS(SUM( $D$37:U37)),0)))</f>
        <v>1564.1785968859626</v>
      </c>
      <c r="W38" s="418">
        <f ca="1">IF(W37&lt;0,0,IF(AND(SUM( $D$37:V37)&lt;0,ABS(SUM( $D$37:V37))&gt;W37),W37,IF(AND(SUM( $D$37:V37)&lt;0,ABS(SUM( $D$37:V37))&lt;W37),ABS(SUM( $D$37:V37)),0)))</f>
        <v>779.65862389320091</v>
      </c>
    </row>
    <row r="39" spans="2:23" ht="18" customHeight="1">
      <c r="B39" s="13" t="s">
        <v>154</v>
      </c>
      <c r="C39" s="417">
        <f t="shared" ca="1" si="47"/>
        <v>-14294.390839359507</v>
      </c>
      <c r="D39" s="418">
        <f t="shared" ref="D39:T39" ca="1" si="50">D37-D38</f>
        <v>0</v>
      </c>
      <c r="E39" s="418">
        <f t="shared" si="50"/>
        <v>-100</v>
      </c>
      <c r="F39" s="418">
        <f t="shared" si="50"/>
        <v>-100</v>
      </c>
      <c r="G39" s="418">
        <f t="shared" si="50"/>
        <v>-2602.565745742766</v>
      </c>
      <c r="H39" s="418">
        <f t="shared" si="50"/>
        <v>-1962.4284748868686</v>
      </c>
      <c r="I39" s="418">
        <f t="shared" si="50"/>
        <v>-1962.4284748868686</v>
      </c>
      <c r="J39" s="418">
        <f t="shared" si="50"/>
        <v>-1857.379949585782</v>
      </c>
      <c r="K39" s="418">
        <f t="shared" si="50"/>
        <v>-2032.4608250875899</v>
      </c>
      <c r="L39" s="418">
        <f t="shared" si="50"/>
        <v>-2102.493175288314</v>
      </c>
      <c r="M39" s="418">
        <f t="shared" si="50"/>
        <v>-2137.5093503886756</v>
      </c>
      <c r="N39" s="418">
        <f t="shared" ca="1" si="50"/>
        <v>0</v>
      </c>
      <c r="O39" s="418">
        <f t="shared" ca="1" si="50"/>
        <v>0</v>
      </c>
      <c r="P39" s="418">
        <f t="shared" ca="1" si="50"/>
        <v>0</v>
      </c>
      <c r="Q39" s="418">
        <f t="shared" ca="1" si="50"/>
        <v>0</v>
      </c>
      <c r="R39" s="418">
        <f t="shared" ca="1" si="50"/>
        <v>0</v>
      </c>
      <c r="S39" s="418">
        <f t="shared" ca="1" si="50"/>
        <v>0</v>
      </c>
      <c r="T39" s="418">
        <f t="shared" ca="1" si="50"/>
        <v>0</v>
      </c>
      <c r="U39" s="419">
        <f t="shared" ref="U39:W39" ca="1" si="51">U37-U38</f>
        <v>0</v>
      </c>
      <c r="V39" s="419">
        <f t="shared" ca="1" si="51"/>
        <v>0</v>
      </c>
      <c r="W39" s="418">
        <f t="shared" ca="1" si="51"/>
        <v>562.87515650735668</v>
      </c>
    </row>
    <row r="40" spans="2:23" ht="18" customHeight="1">
      <c r="B40" s="2" t="s">
        <v>384</v>
      </c>
      <c r="C40" s="417">
        <f t="shared" ca="1" si="47"/>
        <v>140.71878912683917</v>
      </c>
      <c r="D40" s="418">
        <f ca="1">IF(D39&gt;0,D39*'0基本假设 '!$L$41,0)</f>
        <v>0</v>
      </c>
      <c r="E40" s="418">
        <f>IF(E39&gt;0,E39*'0基本假设 '!$L$41,0)</f>
        <v>0</v>
      </c>
      <c r="F40" s="418">
        <f>IF(F39&gt;0,F39*'0基本假设 '!$L$41,0)</f>
        <v>0</v>
      </c>
      <c r="G40" s="418">
        <f>IF(G39&gt;0,G39*'0基本假设 '!$L$41,0)</f>
        <v>0</v>
      </c>
      <c r="H40" s="418">
        <f>IF(H39&gt;0,H39*'0基本假设 '!$L$41,0)</f>
        <v>0</v>
      </c>
      <c r="I40" s="418">
        <f>IF(I39&gt;0,I39*'0基本假设 '!$L$41,0)</f>
        <v>0</v>
      </c>
      <c r="J40" s="418">
        <f>IF(J39&gt;0,J39*'0基本假设 '!$L$41,0)</f>
        <v>0</v>
      </c>
      <c r="K40" s="418">
        <f>IF(K39&gt;0,K39*'0基本假设 '!$L$41,0)</f>
        <v>0</v>
      </c>
      <c r="L40" s="418">
        <f>IF(L39&gt;0,L39*'0基本假设 '!$L$41,0)</f>
        <v>0</v>
      </c>
      <c r="M40" s="418">
        <f>IF(M39&gt;0,M39*'0基本假设 '!$L$41,0)</f>
        <v>0</v>
      </c>
      <c r="N40" s="418">
        <f ca="1">IF(N39&gt;0,N39*'0基本假设 '!$L$41,0)</f>
        <v>0</v>
      </c>
      <c r="O40" s="418">
        <f ca="1">IF(O39&gt;0,O39*'0基本假设 '!$L$41,0)</f>
        <v>0</v>
      </c>
      <c r="P40" s="418">
        <f ca="1">IF(P39&gt;0,P39*'0基本假设 '!$L$41,0)</f>
        <v>0</v>
      </c>
      <c r="Q40" s="418">
        <f ca="1">IF(Q39&gt;0,Q39*'0基本假设 '!$L$41,0)</f>
        <v>0</v>
      </c>
      <c r="R40" s="418">
        <f ca="1">IF(R39&gt;0,R39*'0基本假设 '!$L$41,0)</f>
        <v>0</v>
      </c>
      <c r="S40" s="418">
        <f ca="1">IF(S39&gt;0,S39*'0基本假设 '!$L$41,0)</f>
        <v>0</v>
      </c>
      <c r="T40" s="418">
        <f ca="1">IF(T39&gt;0,T39*'0基本假设 '!$L$41,0)</f>
        <v>0</v>
      </c>
      <c r="U40" s="418">
        <f ca="1">IF(U39&gt;0,U39*'0基本假设 '!$L$41,0)</f>
        <v>0</v>
      </c>
      <c r="V40" s="418">
        <f ca="1">IF(V39&gt;0,V39*'0基本假设 '!$L$41,0)</f>
        <v>0</v>
      </c>
      <c r="W40" s="418">
        <f ca="1">IF(W39&gt;0,W39*'0基本假设 '!$L$41,0)</f>
        <v>140.71878912683917</v>
      </c>
    </row>
    <row r="41" spans="2:23" ht="18" customHeight="1">
      <c r="B41" s="2" t="s">
        <v>172</v>
      </c>
      <c r="C41" s="417">
        <f t="shared" ca="1" si="47"/>
        <v>422.15636738051762</v>
      </c>
      <c r="D41" s="418">
        <f t="shared" ref="D41:W41" ca="1" si="52">D37-D40</f>
        <v>0</v>
      </c>
      <c r="E41" s="418">
        <f t="shared" si="52"/>
        <v>-100</v>
      </c>
      <c r="F41" s="418">
        <f t="shared" si="52"/>
        <v>-100</v>
      </c>
      <c r="G41" s="418">
        <f t="shared" si="52"/>
        <v>-2602.565745742766</v>
      </c>
      <c r="H41" s="418">
        <f t="shared" si="52"/>
        <v>-1962.4284748868686</v>
      </c>
      <c r="I41" s="418">
        <f t="shared" si="52"/>
        <v>-1962.4284748868686</v>
      </c>
      <c r="J41" s="418">
        <f t="shared" si="52"/>
        <v>-1857.379949585782</v>
      </c>
      <c r="K41" s="418">
        <f t="shared" si="52"/>
        <v>-2032.4608250875899</v>
      </c>
      <c r="L41" s="418">
        <f t="shared" si="52"/>
        <v>-2102.493175288314</v>
      </c>
      <c r="M41" s="418">
        <f t="shared" si="52"/>
        <v>-2137.5093503886756</v>
      </c>
      <c r="N41" s="418">
        <f t="shared" ca="1" si="52"/>
        <v>1564.1785968859629</v>
      </c>
      <c r="O41" s="418">
        <f t="shared" ca="1" si="52"/>
        <v>1564.1785968859626</v>
      </c>
      <c r="P41" s="418">
        <f t="shared" ca="1" si="52"/>
        <v>1564.1785968859629</v>
      </c>
      <c r="Q41" s="418">
        <f t="shared" ca="1" si="52"/>
        <v>1564.1785968859626</v>
      </c>
      <c r="R41" s="418">
        <f t="shared" ca="1" si="52"/>
        <v>1564.1785968859626</v>
      </c>
      <c r="S41" s="418">
        <f t="shared" ca="1" si="52"/>
        <v>1564.1785968859629</v>
      </c>
      <c r="T41" s="418">
        <f t="shared" ca="1" si="52"/>
        <v>1564.1785968859626</v>
      </c>
      <c r="U41" s="418">
        <f t="shared" ca="1" si="52"/>
        <v>1564.1785968859629</v>
      </c>
      <c r="V41" s="418">
        <f t="shared" ca="1" si="52"/>
        <v>1564.1785968859626</v>
      </c>
      <c r="W41" s="418">
        <f t="shared" ca="1" si="52"/>
        <v>1201.8149912737185</v>
      </c>
    </row>
    <row r="42" spans="2:23" ht="18" customHeight="1">
      <c r="B42" s="26" t="s">
        <v>156</v>
      </c>
      <c r="C42" s="417">
        <f t="shared" ca="1" si="47"/>
        <v>0</v>
      </c>
      <c r="D42" s="418"/>
      <c r="E42" s="420">
        <f t="shared" ref="E42" ca="1" si="53">D48</f>
        <v>0</v>
      </c>
      <c r="F42" s="420">
        <f t="shared" ref="F42" ca="1" si="54">E48</f>
        <v>0</v>
      </c>
      <c r="G42" s="420">
        <f t="shared" ref="G42" ca="1" si="55">F48</f>
        <v>0</v>
      </c>
      <c r="H42" s="420">
        <f t="shared" ref="H42" ca="1" si="56">G48</f>
        <v>0</v>
      </c>
      <c r="I42" s="420">
        <f t="shared" ref="I42" ca="1" si="57">H48</f>
        <v>0</v>
      </c>
      <c r="J42" s="420">
        <f t="shared" ref="J42" ca="1" si="58">I48</f>
        <v>0</v>
      </c>
      <c r="K42" s="420">
        <f t="shared" ref="K42" ca="1" si="59">J48</f>
        <v>0</v>
      </c>
      <c r="L42" s="420">
        <f t="shared" ref="L42" ca="1" si="60">K48</f>
        <v>0</v>
      </c>
      <c r="M42" s="420">
        <f t="shared" ref="M42" ca="1" si="61">L48</f>
        <v>0</v>
      </c>
      <c r="N42" s="420">
        <f t="shared" ref="N42" ca="1" si="62">M48</f>
        <v>0</v>
      </c>
      <c r="O42" s="420">
        <f t="shared" ref="O42" ca="1" si="63">N48</f>
        <v>0</v>
      </c>
      <c r="P42" s="420">
        <f t="shared" ref="P42" ca="1" si="64">O48</f>
        <v>0</v>
      </c>
      <c r="Q42" s="420">
        <f t="shared" ref="Q42" ca="1" si="65">P48</f>
        <v>0</v>
      </c>
      <c r="R42" s="420">
        <f t="shared" ref="R42" ca="1" si="66">Q48</f>
        <v>0</v>
      </c>
      <c r="S42" s="420">
        <f t="shared" ref="S42" ca="1" si="67">R48</f>
        <v>0</v>
      </c>
      <c r="T42" s="420">
        <f t="shared" ref="T42" ca="1" si="68">S48</f>
        <v>0</v>
      </c>
      <c r="U42" s="420">
        <f t="shared" ref="U42" ca="1" si="69">T48</f>
        <v>0</v>
      </c>
      <c r="V42" s="420">
        <f t="shared" ref="V42" ca="1" si="70">U48</f>
        <v>0</v>
      </c>
      <c r="W42" s="420">
        <f t="shared" ref="W42" ca="1" si="71">V48</f>
        <v>0</v>
      </c>
    </row>
    <row r="43" spans="2:23" ht="18" customHeight="1">
      <c r="B43" s="26" t="s">
        <v>173</v>
      </c>
      <c r="C43" s="417">
        <f t="shared" ca="1" si="47"/>
        <v>422.15636738051762</v>
      </c>
      <c r="D43" s="418">
        <f t="shared" ref="D43:U43" ca="1" si="72">D41+D42</f>
        <v>0</v>
      </c>
      <c r="E43" s="418">
        <f t="shared" ca="1" si="72"/>
        <v>-100</v>
      </c>
      <c r="F43" s="418">
        <f t="shared" ca="1" si="72"/>
        <v>-100</v>
      </c>
      <c r="G43" s="418">
        <f t="shared" ca="1" si="72"/>
        <v>-2602.565745742766</v>
      </c>
      <c r="H43" s="418">
        <f t="shared" ca="1" si="72"/>
        <v>-1962.4284748868686</v>
      </c>
      <c r="I43" s="418">
        <f t="shared" ca="1" si="72"/>
        <v>-1962.4284748868686</v>
      </c>
      <c r="J43" s="418">
        <f t="shared" ca="1" si="72"/>
        <v>-1857.379949585782</v>
      </c>
      <c r="K43" s="418">
        <f t="shared" ca="1" si="72"/>
        <v>-2032.4608250875899</v>
      </c>
      <c r="L43" s="418">
        <f t="shared" ca="1" si="72"/>
        <v>-2102.493175288314</v>
      </c>
      <c r="M43" s="418">
        <f t="shared" ca="1" si="72"/>
        <v>-2137.5093503886756</v>
      </c>
      <c r="N43" s="418">
        <f t="shared" ca="1" si="72"/>
        <v>1564.1785968859629</v>
      </c>
      <c r="O43" s="418">
        <f t="shared" ca="1" si="72"/>
        <v>1564.1785968859626</v>
      </c>
      <c r="P43" s="418">
        <f t="shared" ca="1" si="72"/>
        <v>1564.1785968859629</v>
      </c>
      <c r="Q43" s="418">
        <f t="shared" ca="1" si="72"/>
        <v>1564.1785968859626</v>
      </c>
      <c r="R43" s="418">
        <f t="shared" ca="1" si="72"/>
        <v>1564.1785968859626</v>
      </c>
      <c r="S43" s="418">
        <f t="shared" ca="1" si="72"/>
        <v>1564.1785968859629</v>
      </c>
      <c r="T43" s="418">
        <f t="shared" ca="1" si="72"/>
        <v>1564.1785968859626</v>
      </c>
      <c r="U43" s="418">
        <f t="shared" ca="1" si="72"/>
        <v>1564.1785968859629</v>
      </c>
      <c r="V43" s="419">
        <f t="shared" ref="V43:W43" ca="1" si="73">V41+V42</f>
        <v>1564.1785968859626</v>
      </c>
      <c r="W43" s="418">
        <f t="shared" ca="1" si="73"/>
        <v>1201.8149912737185</v>
      </c>
    </row>
    <row r="44" spans="2:23" ht="18" customHeight="1">
      <c r="B44" s="13" t="s">
        <v>174</v>
      </c>
      <c r="C44" s="417">
        <f t="shared" ca="1" si="47"/>
        <v>500</v>
      </c>
      <c r="D44" s="418">
        <f t="shared" ref="D44" ca="1" si="74">IF(D43&gt;0,D41*0.1,0)</f>
        <v>0</v>
      </c>
      <c r="E44" s="414">
        <f ca="1">IF(D45+(IF(E43&gt;0,E43*0.1,0))&gt;'0基本假设 '!$L$13*50%,'0基本假设 '!$L$13*50%-D45,IF(E43&gt;0,E43*0.1,0))</f>
        <v>0</v>
      </c>
      <c r="F44" s="414">
        <f ca="1">IF(E45+(IF(F43&gt;0,F43*0.1,0))&gt;'0基本假设 '!$L$13*50%,'0基本假设 '!$L$13*50%-E45,IF(F43&gt;0,F43*0.1,0))</f>
        <v>0</v>
      </c>
      <c r="G44" s="414">
        <f ca="1">IF(F45+(IF(G43&gt;0,G43*0.1,0))&gt;'0基本假设 '!$L$13*50%,'0基本假设 '!$L$13*50%-F45,IF(G43&gt;0,G43*0.1,0))</f>
        <v>0</v>
      </c>
      <c r="H44" s="414">
        <f ca="1">IF(G45+(IF(H43&gt;0,H43*0.1,0))&gt;'0基本假设 '!$L$13*50%,'0基本假设 '!$L$13*50%-G45,IF(H43&gt;0,H43*0.1,0))</f>
        <v>0</v>
      </c>
      <c r="I44" s="414">
        <f ca="1">IF(H45+(IF(I43&gt;0,I43*0.1,0))&gt;'0基本假设 '!$L$13*50%,'0基本假设 '!$L$13*50%-H45,IF(I43&gt;0,I43*0.1,0))</f>
        <v>0</v>
      </c>
      <c r="J44" s="414">
        <f ca="1">IF(I45+(IF(J43&gt;0,J43*0.1,0))&gt;'0基本假设 '!$L$13*50%,'0基本假设 '!$L$13*50%-I45,IF(J43&gt;0,J43*0.1,0))</f>
        <v>0</v>
      </c>
      <c r="K44" s="414">
        <f ca="1">IF(J45+(IF(K43&gt;0,K43*0.1,0))&gt;'0基本假设 '!$L$13*50%,'0基本假设 '!$L$13*50%-J45,IF(K43&gt;0,K43*0.1,0))</f>
        <v>0</v>
      </c>
      <c r="L44" s="414">
        <f ca="1">IF(K45+(IF(L43&gt;0,L43*0.1,0))&gt;'0基本假设 '!$L$13*50%,'0基本假设 '!$L$13*50%-K45,IF(L43&gt;0,L43*0.1,0))</f>
        <v>0</v>
      </c>
      <c r="M44" s="414">
        <f ca="1">IF(L45+(IF(M43&gt;0,M43*0.1,0))&gt;'0基本假设 '!$L$13*50%,'0基本假设 '!$L$13*50%-L45,IF(M43&gt;0,M43*0.1,0))</f>
        <v>0</v>
      </c>
      <c r="N44" s="414">
        <f ca="1">IF(M45+(IF(N43&gt;0,N43*0.1,0))&gt;'0基本假设 '!$L$13*50%,'0基本假设 '!$L$13*50%-M45,IF(N43&gt;0,N43*0.1,0))</f>
        <v>156.41785968859631</v>
      </c>
      <c r="O44" s="414">
        <f ca="1">IF(N45+(IF(O43&gt;0,O43*0.1,0))&gt;'0基本假设 '!$L$13*50%,'0基本假设 '!$L$13*50%-N45,IF(O43&gt;0,O43*0.1,0))</f>
        <v>156.41785968859628</v>
      </c>
      <c r="P44" s="414">
        <f ca="1">IF(O45+(IF(P43&gt;0,P43*0.1,0))&gt;'0基本假设 '!$L$13*50%,'0基本假设 '!$L$13*50%-O45,IF(P43&gt;0,P43*0.1,0))</f>
        <v>156.41785968859631</v>
      </c>
      <c r="Q44" s="414">
        <f ca="1">IF(P45+(IF(Q43&gt;0,Q43*0.1,0))&gt;'0基本假设 '!$L$13*50%,'0基本假设 '!$L$13*50%-P45,IF(Q43&gt;0,Q43*0.1,0))</f>
        <v>30.746420934211073</v>
      </c>
      <c r="R44" s="414">
        <f ca="1">IF(Q45+(IF(R43&gt;0,R43*0.1,0))&gt;'0基本假设 '!$L$13*50%,'0基本假设 '!$L$13*50%-Q45,IF(R43&gt;0,R43*0.1,0))</f>
        <v>0</v>
      </c>
      <c r="S44" s="414">
        <f ca="1">IF(R45+(IF(S43&gt;0,S43*0.1,0))&gt;'0基本假设 '!$L$13*50%,'0基本假设 '!$L$13*50%-R45,IF(S43&gt;0,S43*0.1,0))</f>
        <v>0</v>
      </c>
      <c r="T44" s="414">
        <f ca="1">IF(S45+(IF(T43&gt;0,T43*0.1,0))&gt;'0基本假设 '!$L$13*50%,'0基本假设 '!$L$13*50%-S45,IF(T43&gt;0,T43*0.1,0))</f>
        <v>0</v>
      </c>
      <c r="U44" s="414">
        <f ca="1">IF(T45+(IF(U43&gt;0,U43*0.1,0))&gt;'0基本假设 '!$L$13*50%,'0基本假设 '!$L$13*50%-T45,IF(U43&gt;0,U43*0.1,0))</f>
        <v>0</v>
      </c>
      <c r="V44" s="414">
        <f ca="1">IF(U45+(IF(V43&gt;0,V43*0.1,0))&gt;'0基本假设 '!$L$13*50%,'0基本假设 '!$L$13*50%-U45,IF(V43&gt;0,V43*0.1,0))</f>
        <v>0</v>
      </c>
      <c r="W44" s="414">
        <f ca="1">IF(V45+(IF(W43&gt;0,W43*0.1,0))&gt;'0基本假设 '!$L$13*50%,'0基本假设 '!$L$13*50%-V45,IF(W43&gt;0,W43*0.1,0))</f>
        <v>0</v>
      </c>
    </row>
    <row r="45" spans="2:23" ht="60">
      <c r="B45" s="26" t="s">
        <v>158</v>
      </c>
      <c r="C45" s="417"/>
      <c r="D45" s="418">
        <f ca="1">D44</f>
        <v>0</v>
      </c>
      <c r="E45" s="418">
        <f ca="1">D45+E44</f>
        <v>0</v>
      </c>
      <c r="F45" s="418">
        <f t="shared" ref="F45:G45" ca="1" si="75">E45+F44</f>
        <v>0</v>
      </c>
      <c r="G45" s="418">
        <f t="shared" ca="1" si="75"/>
        <v>0</v>
      </c>
      <c r="H45" s="418">
        <f t="shared" ref="H45" ca="1" si="76">G45+H44</f>
        <v>0</v>
      </c>
      <c r="I45" s="418">
        <f t="shared" ref="I45" ca="1" si="77">H45+I44</f>
        <v>0</v>
      </c>
      <c r="J45" s="418">
        <f t="shared" ref="J45" ca="1" si="78">I45+J44</f>
        <v>0</v>
      </c>
      <c r="K45" s="418">
        <f t="shared" ref="K45" ca="1" si="79">J45+K44</f>
        <v>0</v>
      </c>
      <c r="L45" s="418">
        <f t="shared" ref="L45" ca="1" si="80">K45+L44</f>
        <v>0</v>
      </c>
      <c r="M45" s="418">
        <f t="shared" ref="M45" ca="1" si="81">L45+M44</f>
        <v>0</v>
      </c>
      <c r="N45" s="418">
        <f t="shared" ref="N45" ca="1" si="82">M45+N44</f>
        <v>156.41785968859631</v>
      </c>
      <c r="O45" s="418">
        <f t="shared" ref="O45" ca="1" si="83">N45+O44</f>
        <v>312.83571937719262</v>
      </c>
      <c r="P45" s="418">
        <f t="shared" ref="P45" ca="1" si="84">O45+P44</f>
        <v>469.25357906578893</v>
      </c>
      <c r="Q45" s="418">
        <f t="shared" ref="Q45" ca="1" si="85">P45+Q44</f>
        <v>500</v>
      </c>
      <c r="R45" s="418">
        <f t="shared" ref="R45" ca="1" si="86">Q45+R44</f>
        <v>500</v>
      </c>
      <c r="S45" s="418">
        <f t="shared" ref="S45" ca="1" si="87">R45+S44</f>
        <v>500</v>
      </c>
      <c r="T45" s="418">
        <f t="shared" ref="T45" ca="1" si="88">S45+T44</f>
        <v>500</v>
      </c>
      <c r="U45" s="418">
        <f t="shared" ref="U45" ca="1" si="89">T45+U44</f>
        <v>500</v>
      </c>
      <c r="V45" s="418">
        <f t="shared" ref="V45" ca="1" si="90">U45+V44</f>
        <v>500</v>
      </c>
      <c r="W45" s="418">
        <f t="shared" ref="W45" ca="1" si="91">V45+W44</f>
        <v>500</v>
      </c>
    </row>
    <row r="46" spans="2:23" ht="18" customHeight="1">
      <c r="B46" s="26" t="s">
        <v>175</v>
      </c>
      <c r="C46" s="417">
        <f ca="1">SUM(D46:W46)</f>
        <v>-77.843632619479649</v>
      </c>
      <c r="D46" s="418">
        <f t="shared" ref="D46:W46" ca="1" si="92">D43-D44</f>
        <v>0</v>
      </c>
      <c r="E46" s="418">
        <f t="shared" ca="1" si="92"/>
        <v>-100</v>
      </c>
      <c r="F46" s="418">
        <f t="shared" ca="1" si="92"/>
        <v>-100</v>
      </c>
      <c r="G46" s="418">
        <f t="shared" ca="1" si="92"/>
        <v>-2602.565745742766</v>
      </c>
      <c r="H46" s="418">
        <f t="shared" ca="1" si="92"/>
        <v>-1962.4284748868686</v>
      </c>
      <c r="I46" s="418">
        <f t="shared" ca="1" si="92"/>
        <v>-1962.4284748868686</v>
      </c>
      <c r="J46" s="418">
        <f t="shared" ca="1" si="92"/>
        <v>-1857.379949585782</v>
      </c>
      <c r="K46" s="418">
        <f t="shared" ca="1" si="92"/>
        <v>-2032.4608250875899</v>
      </c>
      <c r="L46" s="418">
        <f t="shared" ca="1" si="92"/>
        <v>-2102.493175288314</v>
      </c>
      <c r="M46" s="418">
        <f t="shared" ca="1" si="92"/>
        <v>-2137.5093503886756</v>
      </c>
      <c r="N46" s="418">
        <f t="shared" ca="1" si="92"/>
        <v>1407.7607371973666</v>
      </c>
      <c r="O46" s="418">
        <f t="shared" ca="1" si="92"/>
        <v>1407.7607371973663</v>
      </c>
      <c r="P46" s="418">
        <f t="shared" ca="1" si="92"/>
        <v>1407.7607371973666</v>
      </c>
      <c r="Q46" s="418">
        <f t="shared" ca="1" si="92"/>
        <v>1533.4321759517516</v>
      </c>
      <c r="R46" s="418">
        <f t="shared" ca="1" si="92"/>
        <v>1564.1785968859626</v>
      </c>
      <c r="S46" s="418">
        <f t="shared" ca="1" si="92"/>
        <v>1564.1785968859629</v>
      </c>
      <c r="T46" s="418">
        <f t="shared" ca="1" si="92"/>
        <v>1564.1785968859626</v>
      </c>
      <c r="U46" s="418">
        <f t="shared" ca="1" si="92"/>
        <v>1564.1785968859629</v>
      </c>
      <c r="V46" s="418">
        <f t="shared" ca="1" si="92"/>
        <v>1564.1785968859626</v>
      </c>
      <c r="W46" s="418">
        <f t="shared" ca="1" si="92"/>
        <v>1201.8149912737185</v>
      </c>
    </row>
    <row r="47" spans="2:23" ht="18" customHeight="1">
      <c r="B47" s="26" t="s">
        <v>176</v>
      </c>
      <c r="C47" s="417">
        <f>SUM(D47:W47)</f>
        <v>0</v>
      </c>
      <c r="D47" s="418"/>
      <c r="E47" s="418"/>
      <c r="F47" s="418"/>
      <c r="G47" s="418"/>
      <c r="H47" s="418"/>
      <c r="I47" s="418"/>
      <c r="J47" s="418"/>
      <c r="K47" s="418"/>
      <c r="L47" s="418"/>
      <c r="M47" s="418"/>
      <c r="N47" s="418"/>
      <c r="O47" s="418"/>
      <c r="P47" s="418"/>
      <c r="Q47" s="418"/>
      <c r="R47" s="418"/>
      <c r="S47" s="421"/>
      <c r="T47" s="421"/>
      <c r="U47" s="421"/>
      <c r="V47" s="421"/>
      <c r="W47" s="421"/>
    </row>
    <row r="48" spans="2:23" ht="18" customHeight="1">
      <c r="B48" s="26" t="s">
        <v>177</v>
      </c>
      <c r="C48" s="417">
        <f ca="1">SUM(D48:W48)</f>
        <v>0</v>
      </c>
      <c r="D48" s="418">
        <f ca="1">D41+D42-D44-D46</f>
        <v>0</v>
      </c>
      <c r="E48" s="418">
        <f ca="1">E41+E42-E44-E46</f>
        <v>0</v>
      </c>
      <c r="F48" s="418">
        <f t="shared" ref="F48:L48" ca="1" si="93">F41+F42-F44-F46</f>
        <v>0</v>
      </c>
      <c r="G48" s="418">
        <f t="shared" ca="1" si="93"/>
        <v>0</v>
      </c>
      <c r="H48" s="418">
        <f t="shared" ca="1" si="93"/>
        <v>0</v>
      </c>
      <c r="I48" s="418">
        <f t="shared" ca="1" si="93"/>
        <v>0</v>
      </c>
      <c r="J48" s="418">
        <f t="shared" ca="1" si="93"/>
        <v>0</v>
      </c>
      <c r="K48" s="418">
        <f t="shared" ca="1" si="93"/>
        <v>0</v>
      </c>
      <c r="L48" s="418">
        <f t="shared" ca="1" si="93"/>
        <v>0</v>
      </c>
      <c r="M48" s="418">
        <f t="shared" ref="M48:W48" ca="1" si="94">M41+M42-M44-M46</f>
        <v>0</v>
      </c>
      <c r="N48" s="418">
        <f t="shared" ca="1" si="94"/>
        <v>0</v>
      </c>
      <c r="O48" s="418">
        <f t="shared" ca="1" si="94"/>
        <v>0</v>
      </c>
      <c r="P48" s="418">
        <f t="shared" ca="1" si="94"/>
        <v>0</v>
      </c>
      <c r="Q48" s="418">
        <f t="shared" ca="1" si="94"/>
        <v>0</v>
      </c>
      <c r="R48" s="418">
        <f t="shared" ca="1" si="94"/>
        <v>0</v>
      </c>
      <c r="S48" s="418">
        <f t="shared" ca="1" si="94"/>
        <v>0</v>
      </c>
      <c r="T48" s="418">
        <f t="shared" ca="1" si="94"/>
        <v>0</v>
      </c>
      <c r="U48" s="418">
        <f t="shared" ca="1" si="94"/>
        <v>0</v>
      </c>
      <c r="V48" s="418">
        <f t="shared" ca="1" si="94"/>
        <v>0</v>
      </c>
      <c r="W48" s="418">
        <f t="shared" ca="1" si="94"/>
        <v>0</v>
      </c>
    </row>
    <row r="49" spans="2:23" ht="18" customHeight="1">
      <c r="B49" s="26" t="s">
        <v>161</v>
      </c>
      <c r="C49" s="417">
        <f ca="1">SUM(D49:W49)</f>
        <v>562.87515650735668</v>
      </c>
      <c r="D49" s="418">
        <f ca="1">D41+D40</f>
        <v>0</v>
      </c>
      <c r="E49" s="418">
        <f>E41+E40</f>
        <v>-100</v>
      </c>
      <c r="F49" s="418">
        <f t="shared" ref="F49:L49" si="95">F41+F40</f>
        <v>-100</v>
      </c>
      <c r="G49" s="418">
        <f t="shared" si="95"/>
        <v>-2602.565745742766</v>
      </c>
      <c r="H49" s="418">
        <f t="shared" si="95"/>
        <v>-1962.4284748868686</v>
      </c>
      <c r="I49" s="418">
        <f t="shared" si="95"/>
        <v>-1962.4284748868686</v>
      </c>
      <c r="J49" s="418">
        <f t="shared" si="95"/>
        <v>-1857.379949585782</v>
      </c>
      <c r="K49" s="418">
        <f t="shared" si="95"/>
        <v>-2032.4608250875899</v>
      </c>
      <c r="L49" s="418">
        <f t="shared" si="95"/>
        <v>-2102.493175288314</v>
      </c>
      <c r="M49" s="418">
        <f t="shared" ref="M49:T49" si="96">M41+M40</f>
        <v>-2137.5093503886756</v>
      </c>
      <c r="N49" s="418">
        <f t="shared" ca="1" si="96"/>
        <v>1564.1785968859629</v>
      </c>
      <c r="O49" s="418">
        <f t="shared" ca="1" si="96"/>
        <v>1564.1785968859626</v>
      </c>
      <c r="P49" s="418">
        <f t="shared" ca="1" si="96"/>
        <v>1564.1785968859629</v>
      </c>
      <c r="Q49" s="418">
        <f t="shared" ca="1" si="96"/>
        <v>1564.1785968859626</v>
      </c>
      <c r="R49" s="418">
        <f t="shared" ca="1" si="96"/>
        <v>1564.1785968859626</v>
      </c>
      <c r="S49" s="418">
        <f t="shared" ca="1" si="96"/>
        <v>1564.1785968859629</v>
      </c>
      <c r="T49" s="418">
        <f t="shared" ca="1" si="96"/>
        <v>1564.1785968859626</v>
      </c>
      <c r="U49" s="419">
        <f t="shared" ref="U49:W49" ca="1" si="97">U41+U40</f>
        <v>1564.1785968859629</v>
      </c>
      <c r="V49" s="419">
        <f t="shared" ca="1" si="97"/>
        <v>1564.1785968859626</v>
      </c>
      <c r="W49" s="418">
        <f t="shared" ca="1" si="97"/>
        <v>1342.5337804005576</v>
      </c>
    </row>
    <row r="50" spans="2:23" ht="18" customHeight="1">
      <c r="B50" s="26" t="s">
        <v>162</v>
      </c>
      <c r="C50" s="417">
        <f ca="1">SUM(D50:W50)</f>
        <v>107325.85008150738</v>
      </c>
      <c r="D50" s="418">
        <f ca="1">D49+'附表6 资产折旧摊销表'!E15</f>
        <v>0</v>
      </c>
      <c r="E50" s="418">
        <f>E49+'附表6 资产折旧摊销表'!F15</f>
        <v>-100</v>
      </c>
      <c r="F50" s="418">
        <f>F49+'附表6 资产折旧摊销表'!G15</f>
        <v>-100</v>
      </c>
      <c r="G50" s="418">
        <f>G49+'附表6 资产折旧摊销表'!H15</f>
        <v>22689.563680000007</v>
      </c>
      <c r="H50" s="418">
        <f>H49+'附表6 资产折旧摊销表'!I15</f>
        <v>8778.3254720000004</v>
      </c>
      <c r="I50" s="418">
        <f>I49+'附表6 资产折旧摊销表'!J15</f>
        <v>8778.3254720000004</v>
      </c>
      <c r="J50" s="418">
        <f>J49+'附表6 资产折旧摊销表'!K15</f>
        <v>12196.760024000001</v>
      </c>
      <c r="K50" s="418">
        <f>K49+'附表6 资产折旧摊销表'!L15</f>
        <v>6499.3691040000012</v>
      </c>
      <c r="L50" s="418">
        <f>L49+'附表6 资产折旧摊销表'!M15</f>
        <v>4220.4127360000002</v>
      </c>
      <c r="M50" s="418">
        <f>M49+'附表6 资产折旧摊销表'!N15</f>
        <v>3080.9345520000006</v>
      </c>
      <c r="N50" s="418">
        <f ca="1">N49+'附表6 资产折旧摊销表'!O15</f>
        <v>1941.4563680000001</v>
      </c>
      <c r="O50" s="418">
        <f ca="1">O49+'附表6 资产折旧摊销表'!P15</f>
        <v>1941.4563679999999</v>
      </c>
      <c r="P50" s="418">
        <f ca="1">P49+'附表6 资产折旧摊销表'!Q15</f>
        <v>1941.4563680000001</v>
      </c>
      <c r="Q50" s="418">
        <f ca="1">Q49+'附表6 资产折旧摊销表'!R15</f>
        <v>1941.4563679999999</v>
      </c>
      <c r="R50" s="418">
        <f ca="1">R49+'附表6 资产折旧摊销表'!S15</f>
        <v>1941.4563679999999</v>
      </c>
      <c r="S50" s="418">
        <f ca="1">S49+'附表6 资产折旧摊销表'!T15</f>
        <v>1941.4563680000001</v>
      </c>
      <c r="T50" s="418">
        <f ca="1">T49+'附表6 资产折旧摊销表'!U15</f>
        <v>1941.4563679999999</v>
      </c>
      <c r="U50" s="419">
        <f ca="1">U49+'附表6 资产折旧摊销表'!V15</f>
        <v>1941.4563680000001</v>
      </c>
      <c r="V50" s="419">
        <f ca="1">V49+'附表6 资产折旧摊销表'!W15</f>
        <v>1941.4563679999999</v>
      </c>
      <c r="W50" s="418">
        <f ca="1">W49+'附表6 资产折旧摊销表'!X15</f>
        <v>23809.051729507359</v>
      </c>
    </row>
    <row r="51" spans="2:23" ht="18" customHeight="1">
      <c r="B51" s="39"/>
      <c r="C51" s="8"/>
    </row>
    <row r="52" spans="2:23" ht="18" customHeight="1"/>
    <row r="53" spans="2:23" ht="18" customHeight="1">
      <c r="B53" s="469" t="s">
        <v>554</v>
      </c>
      <c r="C53" s="470"/>
      <c r="D53"/>
    </row>
    <row r="54" spans="2:23" ht="18" customHeight="1"/>
    <row r="55" spans="2:23" ht="18" customHeight="1"/>
    <row r="56" spans="2:23" ht="18" customHeight="1"/>
    <row r="57" spans="2:23" ht="18" customHeight="1"/>
    <row r="58" spans="2:23" ht="18" customHeight="1"/>
    <row r="59" spans="2:23" ht="18" customHeight="1"/>
    <row r="60" spans="2:23" ht="18" customHeight="1"/>
    <row r="61" spans="2:23" ht="18" customHeight="1"/>
    <row r="62" spans="2:23" ht="18" customHeight="1"/>
    <row r="63" spans="2:23" ht="18" customHeight="1"/>
    <row r="64" spans="2:23" ht="18" customHeight="1"/>
    <row r="65" spans="4:4" ht="18" customHeight="1"/>
    <row r="66" spans="4:4" ht="18" customHeight="1"/>
    <row r="67" spans="4:4" ht="18" customHeight="1"/>
    <row r="68" spans="4:4" ht="18" customHeight="1"/>
    <row r="69" spans="4:4" ht="18" customHeight="1">
      <c r="D69" s="36"/>
    </row>
    <row r="70" spans="4:4" ht="18" customHeight="1">
      <c r="D70" s="36"/>
    </row>
    <row r="71" spans="4:4" ht="18" customHeight="1">
      <c r="D71" s="36"/>
    </row>
    <row r="72" spans="4:4" ht="18" customHeight="1">
      <c r="D72" s="36"/>
    </row>
    <row r="73" spans="4:4" ht="19.399999999999999" customHeight="1"/>
    <row r="74" spans="4:4" ht="18" customHeight="1"/>
    <row r="75" spans="4:4" ht="18" customHeight="1"/>
    <row r="76" spans="4:4" ht="18" customHeight="1"/>
    <row r="77" spans="4:4" ht="18" customHeight="1"/>
    <row r="78" spans="4:4" ht="18" customHeight="1"/>
    <row r="79" spans="4:4" ht="18" customHeight="1"/>
    <row r="80" spans="4:4"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sheetData>
  <mergeCells count="10">
    <mergeCell ref="B2:W2"/>
    <mergeCell ref="B30:Q30"/>
    <mergeCell ref="B22:B28"/>
    <mergeCell ref="C24:D24"/>
    <mergeCell ref="C25:D25"/>
    <mergeCell ref="C26:D26"/>
    <mergeCell ref="C27:D27"/>
    <mergeCell ref="C28:D28"/>
    <mergeCell ref="C22:D22"/>
    <mergeCell ref="C23:D23"/>
  </mergeCells>
  <phoneticPr fontId="27" type="noConversion"/>
  <hyperlinks>
    <hyperlink ref="B53" location="目录!A1" display="点击返回目录"/>
  </hyperlinks>
  <pageMargins left="0.69930555555555596" right="0.69930555555555596" top="0.75" bottom="0.75" header="0.3" footer="0.3"/>
  <pageSetup paperSize="9" scale="3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8"/>
  <sheetViews>
    <sheetView showGridLines="0" zoomScale="80" zoomScaleNormal="80" zoomScaleSheetLayoutView="80" workbookViewId="0">
      <pane xSplit="2" ySplit="1" topLeftCell="C2" activePane="bottomRight" state="frozen"/>
      <selection pane="topRight"/>
      <selection pane="bottomLeft"/>
      <selection pane="bottomRight" activeCell="C22" sqref="C22"/>
    </sheetView>
  </sheetViews>
  <sheetFormatPr defaultColWidth="9" defaultRowHeight="14"/>
  <cols>
    <col min="1" max="1" width="6.26953125" customWidth="1"/>
    <col min="2" max="2" width="16.90625" customWidth="1"/>
    <col min="3" max="22" width="11.6328125" customWidth="1"/>
    <col min="23" max="23" width="14" customWidth="1"/>
  </cols>
  <sheetData>
    <row r="1" spans="1:23" ht="34" customHeight="1">
      <c r="A1" s="782" t="s">
        <v>733</v>
      </c>
      <c r="B1" s="783"/>
      <c r="C1" s="783"/>
      <c r="D1" s="783"/>
      <c r="E1" s="783"/>
      <c r="F1" s="783"/>
      <c r="G1" s="783"/>
      <c r="H1" s="783"/>
      <c r="I1" s="783"/>
      <c r="J1" s="783"/>
      <c r="K1" s="783"/>
      <c r="L1" s="783"/>
      <c r="M1" s="783"/>
      <c r="N1" s="783"/>
      <c r="O1" s="783"/>
      <c r="P1" s="783"/>
      <c r="Q1" s="783"/>
      <c r="R1" s="370"/>
    </row>
    <row r="2" spans="1:23" s="510" customFormat="1" ht="25">
      <c r="A2" s="508" t="s">
        <v>574</v>
      </c>
      <c r="B2" s="508" t="s">
        <v>573</v>
      </c>
      <c r="C2" s="509" t="s">
        <v>92</v>
      </c>
      <c r="D2" s="484" t="s">
        <v>477</v>
      </c>
      <c r="E2" s="484" t="s">
        <v>478</v>
      </c>
      <c r="F2" s="484" t="s">
        <v>479</v>
      </c>
      <c r="G2" s="484" t="s">
        <v>480</v>
      </c>
      <c r="H2" s="484" t="s">
        <v>481</v>
      </c>
      <c r="I2" s="484" t="s">
        <v>482</v>
      </c>
      <c r="J2" s="484" t="s">
        <v>483</v>
      </c>
      <c r="K2" s="484" t="s">
        <v>484</v>
      </c>
      <c r="L2" s="484" t="s">
        <v>485</v>
      </c>
      <c r="M2" s="484" t="s">
        <v>486</v>
      </c>
      <c r="N2" s="484" t="s">
        <v>487</v>
      </c>
      <c r="O2" s="484" t="s">
        <v>488</v>
      </c>
      <c r="P2" s="484" t="s">
        <v>489</v>
      </c>
      <c r="Q2" s="484" t="s">
        <v>490</v>
      </c>
      <c r="R2" s="484" t="s">
        <v>491</v>
      </c>
      <c r="S2" s="484" t="s">
        <v>492</v>
      </c>
      <c r="T2" s="484" t="s">
        <v>493</v>
      </c>
      <c r="U2" s="484" t="s">
        <v>494</v>
      </c>
      <c r="V2" s="484" t="s">
        <v>495</v>
      </c>
      <c r="W2" s="484" t="s">
        <v>496</v>
      </c>
    </row>
    <row r="3" spans="1:23">
      <c r="A3" s="334">
        <v>1</v>
      </c>
      <c r="B3" s="32" t="s">
        <v>178</v>
      </c>
      <c r="C3" s="446">
        <f t="shared" ref="C3:C22" si="0">SUM(D3:W3)</f>
        <v>222708.04692499989</v>
      </c>
      <c r="D3" s="441">
        <f>SUM(D4:D11)</f>
        <v>59832.185000000005</v>
      </c>
      <c r="E3" s="441">
        <f t="shared" ref="E3:W3" si="1">SUM(E4:E11)</f>
        <v>8809.086325000002</v>
      </c>
      <c r="F3" s="441">
        <f t="shared" si="1"/>
        <v>4535.695812500001</v>
      </c>
      <c r="G3" s="441">
        <f t="shared" si="1"/>
        <v>28590.286537500007</v>
      </c>
      <c r="H3" s="441">
        <f t="shared" si="1"/>
        <v>14012.454222500002</v>
      </c>
      <c r="I3" s="441">
        <f t="shared" si="1"/>
        <v>14078.030547500002</v>
      </c>
      <c r="J3" s="441">
        <f t="shared" si="1"/>
        <v>17741.959032500003</v>
      </c>
      <c r="K3" s="441">
        <f t="shared" si="1"/>
        <v>11810.281757500003</v>
      </c>
      <c r="L3" s="441">
        <f t="shared" si="1"/>
        <v>9476.9566425000012</v>
      </c>
      <c r="M3" s="441">
        <f t="shared" si="1"/>
        <v>8343.0822475000023</v>
      </c>
      <c r="N3" s="441">
        <f t="shared" si="1"/>
        <v>2148.9014400000001</v>
      </c>
      <c r="O3" s="441">
        <f t="shared" si="1"/>
        <v>2148.9014400000001</v>
      </c>
      <c r="P3" s="441">
        <f t="shared" si="1"/>
        <v>2148.9014400000001</v>
      </c>
      <c r="Q3" s="441">
        <f t="shared" si="1"/>
        <v>2148.9014400000001</v>
      </c>
      <c r="R3" s="441">
        <f t="shared" si="1"/>
        <v>2148.9014400000001</v>
      </c>
      <c r="S3" s="441">
        <f t="shared" si="1"/>
        <v>2148.9014400000001</v>
      </c>
      <c r="T3" s="441">
        <f t="shared" si="1"/>
        <v>2148.9014400000001</v>
      </c>
      <c r="U3" s="441">
        <f t="shared" si="1"/>
        <v>2148.9014400000001</v>
      </c>
      <c r="V3" s="441">
        <f t="shared" si="1"/>
        <v>2148.9014400000001</v>
      </c>
      <c r="W3" s="441">
        <f t="shared" si="1"/>
        <v>26137.915840000001</v>
      </c>
    </row>
    <row r="4" spans="1:23">
      <c r="A4" s="367">
        <v>1.1000000000000001</v>
      </c>
      <c r="B4" s="33" t="s">
        <v>531</v>
      </c>
      <c r="C4" s="673">
        <f t="shared" si="0"/>
        <v>115945.07200000001</v>
      </c>
      <c r="D4" s="442">
        <f>'3.1销售情况分析'!G3</f>
        <v>0</v>
      </c>
      <c r="E4" s="442">
        <f>'3.1销售情况分析'!H3</f>
        <v>0</v>
      </c>
      <c r="F4" s="442">
        <f>'3.1销售情况分析'!I3</f>
        <v>0</v>
      </c>
      <c r="G4" s="442">
        <f>'3.1销售情况分析'!J3</f>
        <v>23989.014400000007</v>
      </c>
      <c r="H4" s="442">
        <f>'3.1销售情况分析'!K3</f>
        <v>9345.6057600000004</v>
      </c>
      <c r="I4" s="442">
        <f>'3.1销售情况分析'!L3</f>
        <v>9345.6057600000004</v>
      </c>
      <c r="J4" s="442">
        <f>'3.1销售情况分析'!M3</f>
        <v>12943.957920000001</v>
      </c>
      <c r="K4" s="442">
        <f>'3.1销售情况分析'!N3</f>
        <v>6946.7043200000007</v>
      </c>
      <c r="L4" s="442">
        <f>'3.1销售情况分析'!O3</f>
        <v>4547.8028800000002</v>
      </c>
      <c r="M4" s="442">
        <f>'3.1销售情况分析'!P3</f>
        <v>3348.3521600000004</v>
      </c>
      <c r="N4" s="442">
        <f>'3.1销售情况分析'!Q3</f>
        <v>2148.9014400000001</v>
      </c>
      <c r="O4" s="442">
        <f>'3.1销售情况分析'!R3</f>
        <v>2148.9014400000001</v>
      </c>
      <c r="P4" s="442">
        <f>'3.1销售情况分析'!S3</f>
        <v>2148.9014400000001</v>
      </c>
      <c r="Q4" s="442">
        <f>'3.1销售情况分析'!T3</f>
        <v>2148.9014400000001</v>
      </c>
      <c r="R4" s="442">
        <f>'3.1销售情况分析'!U3</f>
        <v>2148.9014400000001</v>
      </c>
      <c r="S4" s="442">
        <f>'3.1销售情况分析'!V3</f>
        <v>2148.9014400000001</v>
      </c>
      <c r="T4" s="442">
        <f>'3.1销售情况分析'!W3</f>
        <v>2148.9014400000001</v>
      </c>
      <c r="U4" s="442">
        <f>'3.1销售情况分析'!X3</f>
        <v>2148.9014400000001</v>
      </c>
      <c r="V4" s="442">
        <f>'3.1销售情况分析'!Y3</f>
        <v>2148.9014400000001</v>
      </c>
      <c r="W4" s="442">
        <f>'3.1销售情况分析'!Z3</f>
        <v>26137.915840000001</v>
      </c>
    </row>
    <row r="5" spans="1:23">
      <c r="A5" s="367" t="s">
        <v>452</v>
      </c>
      <c r="B5" s="33" t="s">
        <v>532</v>
      </c>
      <c r="C5" s="673">
        <f t="shared" si="0"/>
        <v>0</v>
      </c>
      <c r="D5" s="442">
        <f>附表3营业收入汇总表!D6</f>
        <v>0</v>
      </c>
      <c r="E5" s="442">
        <f>附表3营业收入汇总表!E6</f>
        <v>0</v>
      </c>
      <c r="F5" s="442">
        <f>附表3营业收入汇总表!F6</f>
        <v>0</v>
      </c>
      <c r="G5" s="442">
        <f>附表3营业收入汇总表!G6</f>
        <v>0</v>
      </c>
      <c r="H5" s="442">
        <f>附表3营业收入汇总表!H6</f>
        <v>0</v>
      </c>
      <c r="I5" s="442">
        <f>附表3营业收入汇总表!I6</f>
        <v>0</v>
      </c>
      <c r="J5" s="442">
        <f>附表3营业收入汇总表!J6</f>
        <v>0</v>
      </c>
      <c r="K5" s="442">
        <f>附表3营业收入汇总表!K6</f>
        <v>0</v>
      </c>
      <c r="L5" s="442">
        <f>附表3营业收入汇总表!L6</f>
        <v>0</v>
      </c>
      <c r="M5" s="442">
        <f>附表3营业收入汇总表!M6</f>
        <v>0</v>
      </c>
      <c r="N5" s="442">
        <f>附表3营业收入汇总表!N6</f>
        <v>0</v>
      </c>
      <c r="O5" s="442">
        <f>附表3营业收入汇总表!O6</f>
        <v>0</v>
      </c>
      <c r="P5" s="442">
        <f>附表3营业收入汇总表!P6</f>
        <v>0</v>
      </c>
      <c r="Q5" s="442">
        <f>附表3营业收入汇总表!Q6</f>
        <v>0</v>
      </c>
      <c r="R5" s="442">
        <f>附表3营业收入汇总表!R6</f>
        <v>0</v>
      </c>
      <c r="S5" s="442">
        <f>附表3营业收入汇总表!S6</f>
        <v>0</v>
      </c>
      <c r="T5" s="442">
        <f>附表3营业收入汇总表!T6</f>
        <v>0</v>
      </c>
      <c r="U5" s="442">
        <f>附表3营业收入汇总表!U6</f>
        <v>0</v>
      </c>
      <c r="V5" s="442">
        <f>附表3营业收入汇总表!V6</f>
        <v>0</v>
      </c>
      <c r="W5" s="442">
        <f>附表3营业收入汇总表!W6</f>
        <v>0</v>
      </c>
    </row>
    <row r="6" spans="1:23">
      <c r="A6" s="367" t="s">
        <v>451</v>
      </c>
      <c r="B6" s="33" t="s">
        <v>179</v>
      </c>
      <c r="C6" s="673">
        <f t="shared" si="0"/>
        <v>43717.550000000017</v>
      </c>
      <c r="D6" s="442">
        <f>'附表2 投资计划与资金筹措平衡表 '!D16</f>
        <v>0</v>
      </c>
      <c r="E6" s="442">
        <f>'附表2 投资计划与资金筹措平衡表 '!E16</f>
        <v>8743.510000000002</v>
      </c>
      <c r="F6" s="442">
        <f>'附表2 投资计划与资金筹措平衡表 '!F16</f>
        <v>4371.755000000001</v>
      </c>
      <c r="G6" s="442">
        <f>'附表2 投资计划与资金筹措平衡表 '!G16</f>
        <v>4371.755000000001</v>
      </c>
      <c r="H6" s="442">
        <f>'附表2 投资计划与资金筹措平衡表 '!H16</f>
        <v>4371.755000000001</v>
      </c>
      <c r="I6" s="442">
        <f>'附表2 投资计划与资金筹措平衡表 '!I16</f>
        <v>4371.755000000001</v>
      </c>
      <c r="J6" s="442">
        <f>'附表2 投资计划与资金筹措平衡表 '!J16</f>
        <v>4371.755000000001</v>
      </c>
      <c r="K6" s="442">
        <f>'附表2 投资计划与资金筹措平衡表 '!K16</f>
        <v>4371.755000000001</v>
      </c>
      <c r="L6" s="442">
        <f>'附表2 投资计划与资金筹措平衡表 '!L16</f>
        <v>4371.755000000001</v>
      </c>
      <c r="M6" s="442">
        <f>'附表2 投资计划与资金筹措平衡表 '!M16</f>
        <v>4371.755000000001</v>
      </c>
      <c r="N6" s="442"/>
      <c r="O6" s="442"/>
      <c r="P6" s="442"/>
      <c r="Q6" s="442"/>
      <c r="R6" s="442"/>
      <c r="S6" s="383"/>
      <c r="T6" s="383"/>
      <c r="U6" s="383"/>
      <c r="V6" s="383"/>
      <c r="W6" s="383"/>
    </row>
    <row r="7" spans="1:23">
      <c r="A7" s="367" t="s">
        <v>446</v>
      </c>
      <c r="B7" s="33" t="s">
        <v>99</v>
      </c>
      <c r="C7" s="673">
        <f t="shared" si="0"/>
        <v>63045.424925000007</v>
      </c>
      <c r="D7" s="442">
        <f>'附表2 投资计划与资金筹措平衡表 '!D12</f>
        <v>59832.185000000005</v>
      </c>
      <c r="E7" s="442">
        <f>'附表2 投资计划与资金筹措平衡表 '!E12</f>
        <v>65.576325000000011</v>
      </c>
      <c r="F7" s="442">
        <f>'附表2 投资计划与资金筹措平衡表 '!F12</f>
        <v>163.94081250000002</v>
      </c>
      <c r="G7" s="442">
        <f>'附表2 投资计划与资金筹措平衡表 '!G12</f>
        <v>229.51713750000005</v>
      </c>
      <c r="H7" s="442">
        <f>'附表2 投资计划与资金筹措平衡表 '!H12</f>
        <v>295.09346250000004</v>
      </c>
      <c r="I7" s="442">
        <f>'附表2 投资计划与资金筹措平衡表 '!I12</f>
        <v>360.66978750000004</v>
      </c>
      <c r="J7" s="442">
        <f>'附表2 投资计划与资金筹措平衡表 '!J12</f>
        <v>426.24611250000009</v>
      </c>
      <c r="K7" s="442">
        <f>'附表2 投资计划与资金筹措平衡表 '!K12</f>
        <v>491.82243750000009</v>
      </c>
      <c r="L7" s="442">
        <f>'附表2 投资计划与资金筹措平衡表 '!L12</f>
        <v>557.39876250000009</v>
      </c>
      <c r="M7" s="442">
        <f>'附表2 投资计划与资金筹措平衡表 '!M12</f>
        <v>622.9750875000002</v>
      </c>
      <c r="N7" s="442"/>
      <c r="O7" s="442"/>
      <c r="P7" s="442"/>
      <c r="Q7" s="442"/>
      <c r="R7" s="442"/>
      <c r="S7" s="442"/>
      <c r="T7" s="442"/>
      <c r="U7" s="442"/>
      <c r="V7" s="442"/>
      <c r="W7" s="442"/>
    </row>
    <row r="8" spans="1:23">
      <c r="A8" s="367" t="s">
        <v>447</v>
      </c>
      <c r="B8" s="33" t="s">
        <v>453</v>
      </c>
      <c r="C8" s="673">
        <f t="shared" si="0"/>
        <v>0</v>
      </c>
      <c r="D8" s="442">
        <f>'附表2 投资计划与资金筹措平衡表 '!D21</f>
        <v>0</v>
      </c>
      <c r="E8" s="442">
        <f>'附表2 投资计划与资金筹措平衡表 '!E21</f>
        <v>0</v>
      </c>
      <c r="F8" s="442">
        <f>'附表2 投资计划与资金筹措平衡表 '!F21</f>
        <v>0</v>
      </c>
      <c r="G8" s="442">
        <f>'附表2 投资计划与资金筹措平衡表 '!G21</f>
        <v>0</v>
      </c>
      <c r="H8" s="442">
        <f>'附表2 投资计划与资金筹措平衡表 '!H21</f>
        <v>0</v>
      </c>
      <c r="I8" s="442">
        <f>'附表2 投资计划与资金筹措平衡表 '!I21</f>
        <v>0</v>
      </c>
      <c r="J8" s="442">
        <f>'附表2 投资计划与资金筹措平衡表 '!J21</f>
        <v>0</v>
      </c>
      <c r="K8" s="442">
        <f>'附表2 投资计划与资金筹措平衡表 '!K21</f>
        <v>0</v>
      </c>
      <c r="L8" s="442">
        <f>'附表2 投资计划与资金筹措平衡表 '!L21</f>
        <v>0</v>
      </c>
      <c r="M8" s="442">
        <f>'附表2 投资计划与资金筹措平衡表 '!M21</f>
        <v>0</v>
      </c>
      <c r="N8" s="442"/>
      <c r="O8" s="442"/>
      <c r="P8" s="442"/>
      <c r="Q8" s="442"/>
      <c r="R8" s="442"/>
      <c r="S8" s="442"/>
      <c r="T8" s="442"/>
      <c r="U8" s="442"/>
      <c r="V8" s="442"/>
      <c r="W8" s="442"/>
    </row>
    <row r="9" spans="1:23">
      <c r="A9" s="367" t="s">
        <v>448</v>
      </c>
      <c r="B9" s="33" t="s">
        <v>180</v>
      </c>
      <c r="C9" s="673">
        <f t="shared" si="0"/>
        <v>0</v>
      </c>
      <c r="D9" s="442"/>
      <c r="E9" s="442"/>
      <c r="F9" s="442"/>
      <c r="G9" s="442"/>
      <c r="H9" s="442"/>
      <c r="I9" s="442"/>
      <c r="J9" s="442"/>
      <c r="K9" s="442"/>
      <c r="L9" s="442"/>
      <c r="M9" s="442"/>
      <c r="N9" s="442"/>
      <c r="O9" s="442"/>
      <c r="P9" s="442"/>
      <c r="Q9" s="442"/>
      <c r="R9" s="442"/>
      <c r="S9" s="383"/>
      <c r="T9" s="383"/>
      <c r="U9" s="383"/>
      <c r="V9" s="383"/>
      <c r="W9" s="383"/>
    </row>
    <row r="10" spans="1:23">
      <c r="A10" s="367" t="s">
        <v>449</v>
      </c>
      <c r="B10" s="33" t="s">
        <v>181</v>
      </c>
      <c r="C10" s="673">
        <f t="shared" si="0"/>
        <v>0</v>
      </c>
      <c r="D10" s="442"/>
      <c r="E10" s="442"/>
      <c r="F10" s="442"/>
      <c r="G10" s="442"/>
      <c r="H10" s="442"/>
      <c r="I10" s="442"/>
      <c r="J10" s="442"/>
      <c r="K10" s="442"/>
      <c r="L10" s="442"/>
      <c r="M10" s="442"/>
      <c r="N10" s="442"/>
      <c r="O10" s="442"/>
      <c r="P10" s="442"/>
      <c r="Q10" s="442"/>
      <c r="R10" s="442"/>
      <c r="S10" s="383"/>
      <c r="T10" s="383"/>
      <c r="U10" s="383"/>
      <c r="V10" s="383"/>
      <c r="W10" s="383"/>
    </row>
    <row r="11" spans="1:23">
      <c r="A11" s="367" t="s">
        <v>450</v>
      </c>
      <c r="B11" s="33" t="s">
        <v>386</v>
      </c>
      <c r="C11" s="673">
        <f t="shared" si="0"/>
        <v>0</v>
      </c>
      <c r="D11" s="442"/>
      <c r="E11" s="442"/>
      <c r="F11" s="442"/>
      <c r="G11" s="442"/>
      <c r="H11" s="442"/>
      <c r="I11" s="442"/>
      <c r="J11" s="442"/>
      <c r="K11" s="442"/>
      <c r="L11" s="442"/>
      <c r="M11" s="442"/>
      <c r="N11" s="442"/>
      <c r="O11" s="442"/>
      <c r="P11" s="442"/>
      <c r="Q11" s="442"/>
      <c r="R11" s="442"/>
      <c r="S11" s="442"/>
      <c r="T11" s="442"/>
      <c r="U11" s="442"/>
      <c r="V11" s="442"/>
      <c r="W11" s="442">
        <f>'附表6 资产折旧摊销表'!X16</f>
        <v>0</v>
      </c>
    </row>
    <row r="12" spans="1:23">
      <c r="A12" s="334">
        <v>2</v>
      </c>
      <c r="B12" s="32" t="s">
        <v>182</v>
      </c>
      <c r="C12" s="671">
        <f t="shared" ca="1" si="0"/>
        <v>222708.04692500006</v>
      </c>
      <c r="D12" s="441">
        <f ca="1">SUM(D13:D22)</f>
        <v>59832.185000000005</v>
      </c>
      <c r="E12" s="441">
        <f t="shared" ref="E12:W12" ca="1" si="2">SUM(E13:E22)</f>
        <v>8809.086325000002</v>
      </c>
      <c r="F12" s="441">
        <f t="shared" ca="1" si="2"/>
        <v>4535.695812500001</v>
      </c>
      <c r="G12" s="441">
        <f t="shared" ca="1" si="2"/>
        <v>28360.769400000008</v>
      </c>
      <c r="H12" s="441">
        <f t="shared" ca="1" si="2"/>
        <v>13946.877897499999</v>
      </c>
      <c r="I12" s="441">
        <f t="shared" ca="1" si="2"/>
        <v>12637.276600613131</v>
      </c>
      <c r="J12" s="441">
        <f t="shared" ca="1" si="2"/>
        <v>3687.8190589142187</v>
      </c>
      <c r="K12" s="441">
        <f t="shared" ca="1" si="2"/>
        <v>3278.4518284124115</v>
      </c>
      <c r="L12" s="441">
        <f t="shared" ca="1" si="2"/>
        <v>3154.050731211687</v>
      </c>
      <c r="M12" s="441">
        <f t="shared" ca="1" si="2"/>
        <v>3124.6383451113252</v>
      </c>
      <c r="N12" s="441">
        <f t="shared" ca="1" si="2"/>
        <v>5765.4954767211111</v>
      </c>
      <c r="O12" s="441">
        <f t="shared" ca="1" si="2"/>
        <v>5820.6391068451803</v>
      </c>
      <c r="P12" s="441">
        <f t="shared" ca="1" si="2"/>
        <v>5876.6098914211134</v>
      </c>
      <c r="Q12" s="441">
        <f t="shared" ca="1" si="2"/>
        <v>5933.4202377656829</v>
      </c>
      <c r="R12" s="441">
        <f t="shared" ca="1" si="2"/>
        <v>6007.4870870209543</v>
      </c>
      <c r="S12" s="441">
        <f t="shared" ca="1" si="2"/>
        <v>6172.0200132398704</v>
      </c>
      <c r="T12" s="441">
        <f t="shared" ca="1" si="2"/>
        <v>6238.0259584051782</v>
      </c>
      <c r="U12" s="441">
        <f t="shared" ca="1" si="2"/>
        <v>6305.0219927479666</v>
      </c>
      <c r="V12" s="441">
        <f t="shared" ca="1" si="2"/>
        <v>6373.0229676058971</v>
      </c>
      <c r="W12" s="441">
        <f t="shared" ca="1" si="2"/>
        <v>26849.453193964291</v>
      </c>
    </row>
    <row r="13" spans="1:23">
      <c r="A13" s="335">
        <v>2.1</v>
      </c>
      <c r="B13" s="33" t="s">
        <v>45</v>
      </c>
      <c r="C13" s="673">
        <f t="shared" si="0"/>
        <v>103549.73500000004</v>
      </c>
      <c r="D13" s="442">
        <f>SUM('附表2 投资计划与资金筹措平衡表 '!D6:D8)</f>
        <v>59832.185000000005</v>
      </c>
      <c r="E13" s="442">
        <f>SUM('附表2 投资计划与资金筹措平衡表 '!E6:E8)</f>
        <v>8743.510000000002</v>
      </c>
      <c r="F13" s="442">
        <f>SUM('附表2 投资计划与资金筹措平衡表 '!F6:F8)</f>
        <v>4371.755000000001</v>
      </c>
      <c r="G13" s="442">
        <f>SUM('附表2 投资计划与资金筹措平衡表 '!G6:G8)</f>
        <v>4371.755000000001</v>
      </c>
      <c r="H13" s="442">
        <f>SUM('附表2 投资计划与资金筹措平衡表 '!H6:H8)</f>
        <v>4371.755000000001</v>
      </c>
      <c r="I13" s="442">
        <f>SUM('附表2 投资计划与资金筹措平衡表 '!I6:I8)</f>
        <v>4371.755000000001</v>
      </c>
      <c r="J13" s="442">
        <f>SUM('附表2 投资计划与资金筹措平衡表 '!J6:J8)</f>
        <v>4371.755000000001</v>
      </c>
      <c r="K13" s="442">
        <f>SUM('附表2 投资计划与资金筹措平衡表 '!K6:K8)</f>
        <v>4371.755000000001</v>
      </c>
      <c r="L13" s="442">
        <f>SUM('附表2 投资计划与资金筹措平衡表 '!L6:L8)</f>
        <v>4371.755000000001</v>
      </c>
      <c r="M13" s="442">
        <f>SUM('附表2 投资计划与资金筹措平衡表 '!M6:M8)</f>
        <v>4371.755000000001</v>
      </c>
      <c r="N13" s="442"/>
      <c r="O13" s="442"/>
      <c r="P13" s="442"/>
      <c r="Q13" s="442"/>
      <c r="R13" s="442"/>
      <c r="S13" s="383"/>
      <c r="T13" s="383"/>
      <c r="U13" s="383"/>
      <c r="V13" s="383"/>
      <c r="W13" s="383"/>
    </row>
    <row r="14" spans="1:23">
      <c r="A14" s="335">
        <v>2.2000000000000002</v>
      </c>
      <c r="B14" s="33" t="s">
        <v>183</v>
      </c>
      <c r="C14" s="673">
        <f t="shared" si="0"/>
        <v>0</v>
      </c>
      <c r="D14" s="442"/>
      <c r="E14" s="442"/>
      <c r="F14" s="442"/>
      <c r="G14" s="442"/>
      <c r="H14" s="442"/>
      <c r="I14" s="442"/>
      <c r="J14" s="442"/>
      <c r="K14" s="442"/>
      <c r="L14" s="442"/>
      <c r="M14" s="442"/>
      <c r="N14" s="442"/>
      <c r="O14" s="442"/>
      <c r="P14" s="442"/>
      <c r="Q14" s="442"/>
      <c r="R14" s="442"/>
      <c r="S14" s="383"/>
      <c r="T14" s="383"/>
      <c r="U14" s="383"/>
      <c r="V14" s="383"/>
      <c r="W14" s="383"/>
    </row>
    <row r="15" spans="1:23">
      <c r="A15" s="335">
        <v>2.2999999999999998</v>
      </c>
      <c r="B15" s="33" t="s">
        <v>387</v>
      </c>
      <c r="C15" s="673">
        <f t="shared" ca="1" si="0"/>
        <v>921.96831849264277</v>
      </c>
      <c r="D15" s="442">
        <f ca="1">附表9利润表!D5</f>
        <v>0</v>
      </c>
      <c r="E15" s="442">
        <f>附表9利润表!E5</f>
        <v>0</v>
      </c>
      <c r="F15" s="442">
        <f>附表9利润表!F5</f>
        <v>0</v>
      </c>
      <c r="G15" s="442">
        <f>附表9利润表!G5</f>
        <v>0</v>
      </c>
      <c r="H15" s="442">
        <f>附表9利润表!H5</f>
        <v>0</v>
      </c>
      <c r="I15" s="442">
        <f>附表9利润表!I5</f>
        <v>0</v>
      </c>
      <c r="J15" s="442">
        <f>附表9利润表!J5</f>
        <v>0</v>
      </c>
      <c r="K15" s="442">
        <f>附表9利润表!K5</f>
        <v>0</v>
      </c>
      <c r="L15" s="442">
        <f>附表9利润表!L5</f>
        <v>0</v>
      </c>
      <c r="M15" s="442">
        <f>附表9利润表!M5</f>
        <v>0</v>
      </c>
      <c r="N15" s="442">
        <f>附表9利润表!N5</f>
        <v>0</v>
      </c>
      <c r="O15" s="442">
        <f>附表9利润表!O5</f>
        <v>0</v>
      </c>
      <c r="P15" s="442">
        <f>附表9利润表!P5</f>
        <v>0</v>
      </c>
      <c r="Q15" s="442">
        <f>附表9利润表!Q5</f>
        <v>0</v>
      </c>
      <c r="R15" s="442">
        <f>附表9利润表!R5</f>
        <v>0</v>
      </c>
      <c r="S15" s="442">
        <f>附表9利润表!S5</f>
        <v>0</v>
      </c>
      <c r="T15" s="442">
        <f>附表9利润表!T5</f>
        <v>0</v>
      </c>
      <c r="U15" s="442">
        <f>附表9利润表!U5</f>
        <v>0</v>
      </c>
      <c r="V15" s="442">
        <f>附表9利润表!V5</f>
        <v>0</v>
      </c>
      <c r="W15" s="442">
        <f>附表9利润表!W5</f>
        <v>921.96831849264277</v>
      </c>
    </row>
    <row r="16" spans="1:23">
      <c r="A16" s="335">
        <v>2.4</v>
      </c>
      <c r="B16" s="33" t="s">
        <v>184</v>
      </c>
      <c r="C16" s="673">
        <f t="shared" si="0"/>
        <v>0</v>
      </c>
      <c r="D16" s="442"/>
      <c r="E16" s="442"/>
      <c r="F16" s="442"/>
      <c r="G16" s="442"/>
      <c r="H16" s="442"/>
      <c r="I16" s="442"/>
      <c r="J16" s="442"/>
      <c r="K16" s="442"/>
      <c r="L16" s="442"/>
      <c r="M16" s="442"/>
      <c r="N16" s="442"/>
      <c r="O16" s="442"/>
      <c r="P16" s="442"/>
      <c r="Q16" s="442"/>
      <c r="R16" s="443"/>
      <c r="S16" s="382"/>
      <c r="T16" s="382"/>
      <c r="U16" s="382"/>
      <c r="V16" s="382"/>
      <c r="W16" s="382"/>
    </row>
    <row r="17" spans="1:23">
      <c r="A17" s="335">
        <v>2.5</v>
      </c>
      <c r="B17" s="33" t="s">
        <v>185</v>
      </c>
      <c r="C17" s="673">
        <f t="shared" si="0"/>
        <v>7697.2536000000046</v>
      </c>
      <c r="D17" s="442">
        <f>'5.1运营成本明细表'!G3</f>
        <v>0</v>
      </c>
      <c r="E17" s="442">
        <f>'5.1运营成本明细表'!H3</f>
        <v>100</v>
      </c>
      <c r="F17" s="442">
        <f>'5.1运营成本明细表'!I3</f>
        <v>100</v>
      </c>
      <c r="G17" s="442">
        <f>'5.1运营成本明细表'!J3</f>
        <v>1299.4507200000005</v>
      </c>
      <c r="H17" s="442">
        <f>'5.1运营成本明细表'!K3</f>
        <v>567.28028800000004</v>
      </c>
      <c r="I17" s="442">
        <f>'5.1运营成本明细表'!L3</f>
        <v>567.28028800000004</v>
      </c>
      <c r="J17" s="442">
        <f>'5.1运营成本明细表'!M3</f>
        <v>747.19789600000013</v>
      </c>
      <c r="K17" s="442">
        <f>'5.1运营成本明细表'!N3</f>
        <v>447.33521600000006</v>
      </c>
      <c r="L17" s="442">
        <f>'5.1运营成本明细表'!O3</f>
        <v>327.39014400000002</v>
      </c>
      <c r="M17" s="442">
        <f>'5.1运营成本明细表'!P3</f>
        <v>267.41760800000003</v>
      </c>
      <c r="N17" s="442">
        <f>'5.1运营成本明细表'!Q3</f>
        <v>207.44507200000001</v>
      </c>
      <c r="O17" s="442">
        <f>'5.1运营成本明细表'!R3</f>
        <v>207.44507200000001</v>
      </c>
      <c r="P17" s="442">
        <f>'5.1运营成本明细表'!S3</f>
        <v>207.44507200000001</v>
      </c>
      <c r="Q17" s="442">
        <f>'5.1运营成本明细表'!T3</f>
        <v>207.44507200000001</v>
      </c>
      <c r="R17" s="442">
        <f>'5.1运营成本明细表'!U3</f>
        <v>207.44507200000001</v>
      </c>
      <c r="S17" s="442">
        <f>'5.1运营成本明细表'!V3</f>
        <v>207.44507200000001</v>
      </c>
      <c r="T17" s="442">
        <f>'5.1运营成本明细表'!W3</f>
        <v>207.44507200000001</v>
      </c>
      <c r="U17" s="442">
        <f>'5.1运营成本明细表'!X3</f>
        <v>207.44507200000001</v>
      </c>
      <c r="V17" s="442">
        <f>'5.1运营成本明细表'!Y3</f>
        <v>207.44507200000001</v>
      </c>
      <c r="W17" s="442">
        <f>'5.1运营成本明细表'!Z3</f>
        <v>1406.8957920000003</v>
      </c>
    </row>
    <row r="18" spans="1:23">
      <c r="A18" s="335">
        <v>2.6</v>
      </c>
      <c r="B18" s="33" t="s">
        <v>147</v>
      </c>
      <c r="C18" s="673">
        <f t="shared" si="0"/>
        <v>6900.4558502374211</v>
      </c>
      <c r="D18" s="442">
        <f>'附表7 银行贷款还本付息表'!E25</f>
        <v>0</v>
      </c>
      <c r="E18" s="442">
        <f>'附表7 银行贷款还本付息表'!F25</f>
        <v>65.576325000000011</v>
      </c>
      <c r="F18" s="442">
        <f>'附表7 银行贷款还本付息表'!G25</f>
        <v>163.94081250000002</v>
      </c>
      <c r="G18" s="442">
        <f>'附表7 银行贷款还本付息表'!H25</f>
        <v>229.51713750000005</v>
      </c>
      <c r="H18" s="442">
        <f>'附表7 银行贷款还本付息表'!I25</f>
        <v>295.09346250000004</v>
      </c>
      <c r="I18" s="442">
        <f>'附表7 银行贷款还本付息表'!J25</f>
        <v>360.66978750000004</v>
      </c>
      <c r="J18" s="442">
        <f>'附表7 银行贷款还本付息表'!K25</f>
        <v>426.24611250000009</v>
      </c>
      <c r="K18" s="442">
        <f>'附表7 银行贷款还本付息表'!L25</f>
        <v>491.82243750000009</v>
      </c>
      <c r="L18" s="442">
        <f>'附表7 银行贷款还本付息表'!M25</f>
        <v>557.39876250000009</v>
      </c>
      <c r="M18" s="442">
        <f>'附表7 银行贷款还本付息表'!N25</f>
        <v>622.9750875000002</v>
      </c>
      <c r="N18" s="442">
        <f>'附表7 银行贷款还本付息表'!O26</f>
        <v>655.7632500000002</v>
      </c>
      <c r="O18" s="442">
        <f>'附表7 银行贷款还本付息表'!P26</f>
        <v>594.49254986214407</v>
      </c>
      <c r="P18" s="442">
        <f>'附表7 银行贷款还本付息表'!Q26</f>
        <v>532.3027892222201</v>
      </c>
      <c r="Q18" s="442">
        <f>'附表7 银行贷款还本付息表'!R26</f>
        <v>469.1801821726973</v>
      </c>
      <c r="R18" s="442">
        <f>'附表7 银行贷款还本付息表'!S26</f>
        <v>405.11073601743158</v>
      </c>
      <c r="S18" s="442">
        <f>'附表7 银行贷款还本付息表'!T26</f>
        <v>340.08024816983692</v>
      </c>
      <c r="T18" s="442">
        <f>'附表7 银行贷款还本付息表'!U26</f>
        <v>274.0743030045283</v>
      </c>
      <c r="U18" s="442">
        <f>'附表7 银行贷款还本付息表'!V26</f>
        <v>207.07826866174008</v>
      </c>
      <c r="V18" s="442">
        <f>'附表7 银行贷款还本付息表'!W26</f>
        <v>139.07729380381002</v>
      </c>
      <c r="W18" s="442">
        <f>'附表7 银行贷款还本付息表'!X26</f>
        <v>70.056304323011005</v>
      </c>
    </row>
    <row r="19" spans="1:23">
      <c r="A19" s="335">
        <v>2.7</v>
      </c>
      <c r="B19" s="33" t="s">
        <v>186</v>
      </c>
      <c r="C19" s="673">
        <f t="shared" si="0"/>
        <v>43717.550000000025</v>
      </c>
      <c r="D19" s="442">
        <f>'附表7 银行贷款还本付息表'!E24</f>
        <v>0</v>
      </c>
      <c r="E19" s="442">
        <f>'附表7 银行贷款还本付息表'!F24</f>
        <v>0</v>
      </c>
      <c r="F19" s="442">
        <f>'附表7 银行贷款还本付息表'!G24</f>
        <v>0</v>
      </c>
      <c r="G19" s="442">
        <f>'附表7 银行贷款还本付息表'!H24</f>
        <v>0</v>
      </c>
      <c r="H19" s="442">
        <f>'附表7 银行贷款还本付息表'!I24</f>
        <v>0</v>
      </c>
      <c r="I19" s="442">
        <f>'附表7 银行贷款还本付息表'!J24</f>
        <v>0</v>
      </c>
      <c r="J19" s="442">
        <f>'附表7 银行贷款还本付息表'!K24</f>
        <v>0</v>
      </c>
      <c r="K19" s="442">
        <f>'附表7 银行贷款还本付息表'!L24</f>
        <v>0</v>
      </c>
      <c r="L19" s="442">
        <f>'附表7 银行贷款还本付息表'!M24</f>
        <v>0</v>
      </c>
      <c r="M19" s="442">
        <f>'附表7 银行贷款还本付息表'!N24</f>
        <v>0</v>
      </c>
      <c r="N19" s="442">
        <f>'附表7 银行贷款还本付息表'!O24</f>
        <v>4084.7133425237444</v>
      </c>
      <c r="O19" s="442">
        <f>'附表7 银行贷款还本付息表'!P24</f>
        <v>4145.9840426616001</v>
      </c>
      <c r="P19" s="442">
        <f>'附表7 银行贷款还本付息表'!Q24</f>
        <v>4208.1738033015245</v>
      </c>
      <c r="Q19" s="442">
        <f>'附表7 银行贷款还本付息表'!R24</f>
        <v>4271.2964103510467</v>
      </c>
      <c r="R19" s="442">
        <f>'附表7 银行贷款还本付息表'!S24</f>
        <v>4335.3658565063124</v>
      </c>
      <c r="S19" s="442">
        <f>'附表7 银行贷款还本付息表'!T24</f>
        <v>4400.3963443539078</v>
      </c>
      <c r="T19" s="442">
        <f>'附表7 银行贷款还本付息表'!U24</f>
        <v>4466.4022895192156</v>
      </c>
      <c r="U19" s="442">
        <f>'附表7 银行贷款还本付息表'!V24</f>
        <v>4533.398323862004</v>
      </c>
      <c r="V19" s="442">
        <f>'附表7 银行贷款还本付息表'!W24</f>
        <v>4601.3992987199344</v>
      </c>
      <c r="W19" s="442">
        <f>'附表7 银行贷款还本付息表'!X24</f>
        <v>4670.420288200733</v>
      </c>
    </row>
    <row r="20" spans="1:23">
      <c r="A20" s="335">
        <v>2.8</v>
      </c>
      <c r="B20" s="33" t="s">
        <v>187</v>
      </c>
      <c r="C20" s="672">
        <f t="shared" ca="1" si="0"/>
        <v>0</v>
      </c>
      <c r="D20" s="442">
        <f ca="1">附表9利润表!D11</f>
        <v>0</v>
      </c>
      <c r="E20" s="442">
        <f>附表9利润表!E11</f>
        <v>0</v>
      </c>
      <c r="F20" s="442">
        <f>附表9利润表!F11</f>
        <v>0</v>
      </c>
      <c r="G20" s="442">
        <f>附表9利润表!G11</f>
        <v>0</v>
      </c>
      <c r="H20" s="442">
        <f>附表9利润表!H11</f>
        <v>0</v>
      </c>
      <c r="I20" s="442">
        <f>附表9利润表!I11</f>
        <v>0</v>
      </c>
      <c r="J20" s="442">
        <f>附表9利润表!J11</f>
        <v>0</v>
      </c>
      <c r="K20" s="442">
        <f>附表9利润表!K11</f>
        <v>0</v>
      </c>
      <c r="L20" s="442">
        <f>附表9利润表!L11</f>
        <v>0</v>
      </c>
      <c r="M20" s="442">
        <f>附表9利润表!M11</f>
        <v>0</v>
      </c>
      <c r="N20" s="442">
        <f ca="1">附表9利润表!N11</f>
        <v>0</v>
      </c>
      <c r="O20" s="442">
        <f ca="1">附表9利润表!O11</f>
        <v>0</v>
      </c>
      <c r="P20" s="442">
        <f ca="1">附表9利润表!P11</f>
        <v>0</v>
      </c>
      <c r="Q20" s="442">
        <f ca="1">附表9利润表!Q11</f>
        <v>0</v>
      </c>
      <c r="R20" s="442">
        <f ca="1">附表9利润表!R11</f>
        <v>0</v>
      </c>
      <c r="S20" s="442">
        <f ca="1">附表9利润表!S11</f>
        <v>0</v>
      </c>
      <c r="T20" s="442">
        <f ca="1">附表9利润表!T11</f>
        <v>0</v>
      </c>
      <c r="U20" s="442">
        <f ca="1">附表9利润表!U11</f>
        <v>0</v>
      </c>
      <c r="V20" s="442">
        <f ca="1">附表9利润表!V11</f>
        <v>0</v>
      </c>
      <c r="W20" s="442">
        <f ca="1">附表9利润表!W11</f>
        <v>0</v>
      </c>
    </row>
    <row r="21" spans="1:23">
      <c r="A21" s="335">
        <v>2.9</v>
      </c>
      <c r="B21" s="33" t="s">
        <v>176</v>
      </c>
      <c r="C21" s="672">
        <f t="shared" ca="1" si="0"/>
        <v>-3624.3407687300605</v>
      </c>
      <c r="D21" s="442">
        <f ca="1">附表9利润表!D17</f>
        <v>0</v>
      </c>
      <c r="E21" s="442">
        <f ca="1">附表9利润表!E17</f>
        <v>-100</v>
      </c>
      <c r="F21" s="442">
        <f ca="1">附表9利润表!F17</f>
        <v>-100</v>
      </c>
      <c r="G21" s="442">
        <f ca="1">附表9利润表!G17</f>
        <v>-2602.565745742766</v>
      </c>
      <c r="H21" s="442">
        <f ca="1">附表9利润表!H17</f>
        <v>-1962.4284748868686</v>
      </c>
      <c r="I21" s="442">
        <f ca="1">附表9利润表!I17</f>
        <v>-1962.4284748868686</v>
      </c>
      <c r="J21" s="442">
        <f ca="1">附表9利润表!J17</f>
        <v>-1857.379949585782</v>
      </c>
      <c r="K21" s="442">
        <f ca="1">附表9利润表!K17</f>
        <v>-2032.4608250875899</v>
      </c>
      <c r="L21" s="442">
        <f ca="1">附表9利润表!L17</f>
        <v>-2102.493175288314</v>
      </c>
      <c r="M21" s="442">
        <f ca="1">附表9利润表!M17</f>
        <v>-2137.5093503886756</v>
      </c>
      <c r="N21" s="442">
        <f ca="1">附表9利润表!N17</f>
        <v>817.57381219736635</v>
      </c>
      <c r="O21" s="442">
        <f ca="1">附表9利润表!O17</f>
        <v>872.71744232143681</v>
      </c>
      <c r="P21" s="442">
        <f ca="1">附表9利润表!P17</f>
        <v>928.68822689736851</v>
      </c>
      <c r="Q21" s="442">
        <f ca="1">附表9利润表!Q17</f>
        <v>985.49857324193886</v>
      </c>
      <c r="R21" s="442">
        <f ca="1">附表9利润表!R17</f>
        <v>1059.5654224972102</v>
      </c>
      <c r="S21" s="442">
        <f ca="1">附表9利润表!S17</f>
        <v>1224.0983487161259</v>
      </c>
      <c r="T21" s="442">
        <f ca="1">附表9利润表!T17</f>
        <v>1290.1042938814344</v>
      </c>
      <c r="U21" s="442">
        <f ca="1">附表9利润表!U17</f>
        <v>1357.1003282242227</v>
      </c>
      <c r="V21" s="442">
        <f ca="1">附表9利润表!V17</f>
        <v>1425.1013030821528</v>
      </c>
      <c r="W21" s="442">
        <f ca="1">附表9利润表!W17</f>
        <v>1272.4774760775472</v>
      </c>
    </row>
    <row r="22" spans="1:23" s="30" customFormat="1">
      <c r="A22" s="335">
        <v>2.1</v>
      </c>
      <c r="B22" s="33" t="s">
        <v>188</v>
      </c>
      <c r="C22" s="672">
        <f t="shared" ca="1" si="0"/>
        <v>63545.424924999999</v>
      </c>
      <c r="D22" s="442"/>
      <c r="E22" s="442">
        <f>IF(E27&gt;0,E27,0)</f>
        <v>0</v>
      </c>
      <c r="F22" s="442">
        <f ca="1">IF(F27&gt;0,F27,0)</f>
        <v>0</v>
      </c>
      <c r="G22" s="442">
        <f t="shared" ref="G22:H22" ca="1" si="3">IF(G27&gt;0,G27,0)</f>
        <v>25062.612288242774</v>
      </c>
      <c r="H22" s="442">
        <f t="shared" ca="1" si="3"/>
        <v>10675.177621886867</v>
      </c>
      <c r="I22" s="442">
        <v>9300</v>
      </c>
      <c r="J22" s="442"/>
      <c r="K22" s="442"/>
      <c r="L22" s="442"/>
      <c r="M22" s="442"/>
      <c r="N22" s="442"/>
      <c r="O22" s="442"/>
      <c r="P22" s="442"/>
      <c r="Q22" s="442"/>
      <c r="R22" s="442"/>
      <c r="S22" s="442"/>
      <c r="T22" s="442"/>
      <c r="U22" s="442"/>
      <c r="V22" s="442"/>
      <c r="W22" s="442">
        <f ca="1">W27</f>
        <v>18507.635014870357</v>
      </c>
    </row>
    <row r="23" spans="1:23">
      <c r="A23" s="334">
        <v>3</v>
      </c>
      <c r="B23" s="32" t="s">
        <v>189</v>
      </c>
      <c r="C23" s="446"/>
      <c r="D23" s="444">
        <f t="shared" ref="D23" ca="1" si="4">D3-D12</f>
        <v>0</v>
      </c>
      <c r="E23" s="444">
        <f t="shared" ref="E23:W23" ca="1" si="5">E3-E12</f>
        <v>0</v>
      </c>
      <c r="F23" s="444">
        <f t="shared" ca="1" si="5"/>
        <v>0</v>
      </c>
      <c r="G23" s="444">
        <f t="shared" ca="1" si="5"/>
        <v>229.51713749999908</v>
      </c>
      <c r="H23" s="444">
        <f t="shared" ca="1" si="5"/>
        <v>65.576325000003635</v>
      </c>
      <c r="I23" s="444">
        <f t="shared" ca="1" si="5"/>
        <v>1440.7539468868708</v>
      </c>
      <c r="J23" s="444">
        <f t="shared" ca="1" si="5"/>
        <v>14054.139973585785</v>
      </c>
      <c r="K23" s="444">
        <f t="shared" ca="1" si="5"/>
        <v>8531.8299290875912</v>
      </c>
      <c r="L23" s="444">
        <f t="shared" ca="1" si="5"/>
        <v>6322.9059112883142</v>
      </c>
      <c r="M23" s="444">
        <f t="shared" ca="1" si="5"/>
        <v>5218.4439023886771</v>
      </c>
      <c r="N23" s="444">
        <f t="shared" ca="1" si="5"/>
        <v>-3616.594036721111</v>
      </c>
      <c r="O23" s="444">
        <f t="shared" ca="1" si="5"/>
        <v>-3671.7376668451802</v>
      </c>
      <c r="P23" s="444">
        <f t="shared" ca="1" si="5"/>
        <v>-3727.7084514211133</v>
      </c>
      <c r="Q23" s="444">
        <f t="shared" ca="1" si="5"/>
        <v>-3784.5187977656828</v>
      </c>
      <c r="R23" s="444">
        <f t="shared" ca="1" si="5"/>
        <v>-3858.5856470209542</v>
      </c>
      <c r="S23" s="444">
        <f t="shared" ca="1" si="5"/>
        <v>-4023.1185732398703</v>
      </c>
      <c r="T23" s="444">
        <f t="shared" ca="1" si="5"/>
        <v>-4089.1245184051782</v>
      </c>
      <c r="U23" s="444">
        <f t="shared" ca="1" si="5"/>
        <v>-4156.1205527479669</v>
      </c>
      <c r="V23" s="444">
        <f t="shared" ca="1" si="5"/>
        <v>-4224.1215276058974</v>
      </c>
      <c r="W23" s="444">
        <f t="shared" ca="1" si="5"/>
        <v>-711.53735396428965</v>
      </c>
    </row>
    <row r="24" spans="1:23">
      <c r="A24" s="335">
        <v>4</v>
      </c>
      <c r="B24" s="33" t="s">
        <v>190</v>
      </c>
      <c r="C24" s="446"/>
      <c r="D24" s="445">
        <f ca="1">D23</f>
        <v>0</v>
      </c>
      <c r="E24" s="445">
        <f ca="1">D24+E23</f>
        <v>0</v>
      </c>
      <c r="F24" s="445">
        <f t="shared" ref="F24:G24" ca="1" si="6">E24+F23</f>
        <v>0</v>
      </c>
      <c r="G24" s="445">
        <f t="shared" ca="1" si="6"/>
        <v>229.51713749999908</v>
      </c>
      <c r="H24" s="445">
        <f t="shared" ref="H24" ca="1" si="7">G24+H23</f>
        <v>295.09346250000272</v>
      </c>
      <c r="I24" s="445">
        <f t="shared" ref="I24" ca="1" si="8">H24+I23</f>
        <v>1735.8474093868736</v>
      </c>
      <c r="J24" s="445">
        <f t="shared" ref="J24" ca="1" si="9">I24+J23</f>
        <v>15789.987382972658</v>
      </c>
      <c r="K24" s="445">
        <f t="shared" ref="K24" ca="1" si="10">J24+K23</f>
        <v>24321.817312060251</v>
      </c>
      <c r="L24" s="445">
        <f t="shared" ref="L24" ca="1" si="11">K24+L23</f>
        <v>30644.723223348567</v>
      </c>
      <c r="M24" s="445">
        <f t="shared" ref="M24" ca="1" si="12">L24+M23</f>
        <v>35863.167125737244</v>
      </c>
      <c r="N24" s="445">
        <f t="shared" ref="N24" ca="1" si="13">M24+N23</f>
        <v>32246.573089016132</v>
      </c>
      <c r="O24" s="445">
        <f t="shared" ref="O24" ca="1" si="14">N24+O23</f>
        <v>28574.835422170952</v>
      </c>
      <c r="P24" s="445">
        <f t="shared" ref="P24" ca="1" si="15">O24+P23</f>
        <v>24847.12697074984</v>
      </c>
      <c r="Q24" s="445">
        <f t="shared" ref="Q24" ca="1" si="16">P24+Q23</f>
        <v>21062.608172984157</v>
      </c>
      <c r="R24" s="445">
        <f t="shared" ref="R24" ca="1" si="17">Q24+R23</f>
        <v>17204.022525963202</v>
      </c>
      <c r="S24" s="445">
        <f t="shared" ref="S24" ca="1" si="18">R24+S23</f>
        <v>13180.903952723333</v>
      </c>
      <c r="T24" s="445">
        <f t="shared" ref="T24" ca="1" si="19">S24+T23</f>
        <v>9091.779434318154</v>
      </c>
      <c r="U24" s="445">
        <f t="shared" ref="U24" ca="1" si="20">T24+U23</f>
        <v>4935.6588815701871</v>
      </c>
      <c r="V24" s="445">
        <f t="shared" ref="V24" ca="1" si="21">U24+V23</f>
        <v>711.53735396428965</v>
      </c>
      <c r="W24" s="445">
        <f t="shared" ref="W24" ca="1" si="22">V24+W23</f>
        <v>0</v>
      </c>
    </row>
    <row r="25" spans="1:23" ht="49.5">
      <c r="A25" s="784" t="s">
        <v>311</v>
      </c>
      <c r="B25" s="256" t="s">
        <v>191</v>
      </c>
      <c r="C25" s="494" t="str">
        <f ca="1">IF(COUNTIF(D25:W25,"否")=0,"正确","错误")</f>
        <v>正确</v>
      </c>
      <c r="D25" s="495" t="str">
        <f ca="1">IF(ROUND(D24,0)&gt;=0,"是","否")</f>
        <v>是</v>
      </c>
      <c r="E25" s="495" t="str">
        <f t="shared" ref="E25:W25" ca="1" si="23">IF(ROUND(E24,0)&gt;=0,"是","否")</f>
        <v>是</v>
      </c>
      <c r="F25" s="495" t="str">
        <f t="shared" ca="1" si="23"/>
        <v>是</v>
      </c>
      <c r="G25" s="495" t="str">
        <f t="shared" ca="1" si="23"/>
        <v>是</v>
      </c>
      <c r="H25" s="495" t="str">
        <f t="shared" ca="1" si="23"/>
        <v>是</v>
      </c>
      <c r="I25" s="495" t="str">
        <f t="shared" ca="1" si="23"/>
        <v>是</v>
      </c>
      <c r="J25" s="495" t="str">
        <f t="shared" ca="1" si="23"/>
        <v>是</v>
      </c>
      <c r="K25" s="495" t="str">
        <f t="shared" ca="1" si="23"/>
        <v>是</v>
      </c>
      <c r="L25" s="495" t="str">
        <f t="shared" ca="1" si="23"/>
        <v>是</v>
      </c>
      <c r="M25" s="495" t="str">
        <f t="shared" ca="1" si="23"/>
        <v>是</v>
      </c>
      <c r="N25" s="495" t="str">
        <f t="shared" ca="1" si="23"/>
        <v>是</v>
      </c>
      <c r="O25" s="495" t="str">
        <f t="shared" ca="1" si="23"/>
        <v>是</v>
      </c>
      <c r="P25" s="495" t="str">
        <f t="shared" ca="1" si="23"/>
        <v>是</v>
      </c>
      <c r="Q25" s="495" t="str">
        <f t="shared" ca="1" si="23"/>
        <v>是</v>
      </c>
      <c r="R25" s="495" t="str">
        <f t="shared" ca="1" si="23"/>
        <v>是</v>
      </c>
      <c r="S25" s="495" t="str">
        <f t="shared" ca="1" si="23"/>
        <v>是</v>
      </c>
      <c r="T25" s="495" t="str">
        <f t="shared" ca="1" si="23"/>
        <v>是</v>
      </c>
      <c r="U25" s="495" t="str">
        <f t="shared" ca="1" si="23"/>
        <v>是</v>
      </c>
      <c r="V25" s="495" t="str">
        <f t="shared" ca="1" si="23"/>
        <v>是</v>
      </c>
      <c r="W25" s="495" t="str">
        <f t="shared" ca="1" si="23"/>
        <v>是</v>
      </c>
    </row>
    <row r="26" spans="1:23" s="31" customFormat="1" ht="25" customHeight="1">
      <c r="A26" s="785"/>
      <c r="B26" s="635" t="s">
        <v>192</v>
      </c>
      <c r="C26" s="635"/>
      <c r="D26" s="636"/>
      <c r="E26" s="636">
        <f t="shared" ref="E26:L26" ca="1" si="24">E3-SUM(E13:E18)-E20-E21-20000</f>
        <v>-20000</v>
      </c>
      <c r="F26" s="636">
        <f t="shared" ca="1" si="24"/>
        <v>-20000</v>
      </c>
      <c r="G26" s="636">
        <f t="shared" ca="1" si="24"/>
        <v>5292.1294257427726</v>
      </c>
      <c r="H26" s="636">
        <f t="shared" ca="1" si="24"/>
        <v>-9259.246053113131</v>
      </c>
      <c r="I26" s="636">
        <f t="shared" ca="1" si="24"/>
        <v>-9259.246053113131</v>
      </c>
      <c r="J26" s="636">
        <f t="shared" ca="1" si="24"/>
        <v>-5945.8600264142151</v>
      </c>
      <c r="K26" s="636">
        <f t="shared" ca="1" si="24"/>
        <v>-11468.170070912409</v>
      </c>
      <c r="L26" s="636">
        <f t="shared" ca="1" si="24"/>
        <v>-13677.094088711685</v>
      </c>
      <c r="M26" s="636">
        <f ca="1">M3-SUM(M13:M18)-M20-M21-20000</f>
        <v>-14781.556097611323</v>
      </c>
      <c r="N26" s="636">
        <f ca="1">N3-SUM(N13:N18)-N20-N21-20000</f>
        <v>-19531.880694197367</v>
      </c>
      <c r="O26" s="636">
        <f ca="1">O3-SUM(O13:O18)-O20-O21</f>
        <v>474.24637581641912</v>
      </c>
      <c r="P26" s="636">
        <f t="shared" ref="P26:W26" ca="1" si="25">P3-SUM(P13:P18)-P20-P21</f>
        <v>480.4653518804115</v>
      </c>
      <c r="Q26" s="636">
        <f t="shared" ca="1" si="25"/>
        <v>486.77761258536407</v>
      </c>
      <c r="R26" s="636">
        <f t="shared" ca="1" si="25"/>
        <v>476.78020948535845</v>
      </c>
      <c r="S26" s="636">
        <f t="shared" ca="1" si="25"/>
        <v>377.27777111403725</v>
      </c>
      <c r="T26" s="636">
        <f t="shared" ca="1" si="25"/>
        <v>377.27777111403748</v>
      </c>
      <c r="U26" s="636">
        <f t="shared" ca="1" si="25"/>
        <v>377.27777111403725</v>
      </c>
      <c r="V26" s="636">
        <f t="shared" ca="1" si="25"/>
        <v>377.27777111403725</v>
      </c>
      <c r="W26" s="636">
        <f t="shared" ca="1" si="25"/>
        <v>22466.517949106801</v>
      </c>
    </row>
    <row r="27" spans="1:23" s="31" customFormat="1" ht="25" customHeight="1">
      <c r="A27" s="785"/>
      <c r="B27" s="635" t="s">
        <v>193</v>
      </c>
      <c r="C27" s="637"/>
      <c r="D27" s="636"/>
      <c r="E27" s="636"/>
      <c r="F27" s="636">
        <f ca="1">E24+F4+F11+F5-F15-F17-F18-F19-F20-F21</f>
        <v>-163.94081249999999</v>
      </c>
      <c r="G27" s="636">
        <f t="shared" ref="G27:V27" ca="1" si="26">F24+G4+G11+G5-G15-G17-G18-G19-G20-G21</f>
        <v>25062.612288242774</v>
      </c>
      <c r="H27" s="636">
        <f t="shared" ca="1" si="26"/>
        <v>10675.177621886867</v>
      </c>
      <c r="I27" s="636">
        <f t="shared" ca="1" si="26"/>
        <v>10675.177621886871</v>
      </c>
      <c r="J27" s="636">
        <f t="shared" ca="1" si="26"/>
        <v>15363.741270472656</v>
      </c>
      <c r="K27" s="636">
        <f t="shared" ca="1" si="26"/>
        <v>23829.994874560252</v>
      </c>
      <c r="L27" s="636">
        <f t="shared" ca="1" si="26"/>
        <v>30087.324460848562</v>
      </c>
      <c r="M27" s="636">
        <f t="shared" ca="1" si="26"/>
        <v>35240.192038237234</v>
      </c>
      <c r="N27" s="636">
        <f t="shared" ca="1" si="26"/>
        <v>32246.573089016125</v>
      </c>
      <c r="O27" s="636">
        <f t="shared" ca="1" si="26"/>
        <v>28574.835422170945</v>
      </c>
      <c r="P27" s="636">
        <f t="shared" ca="1" si="26"/>
        <v>24847.126970749843</v>
      </c>
      <c r="Q27" s="636">
        <f t="shared" ca="1" si="26"/>
        <v>21062.608172984161</v>
      </c>
      <c r="R27" s="636">
        <f t="shared" ca="1" si="26"/>
        <v>17204.022525963206</v>
      </c>
      <c r="S27" s="636">
        <f t="shared" ca="1" si="26"/>
        <v>13180.903952723334</v>
      </c>
      <c r="T27" s="636">
        <f t="shared" ca="1" si="26"/>
        <v>9091.7794343181522</v>
      </c>
      <c r="U27" s="636">
        <f t="shared" ca="1" si="26"/>
        <v>4935.6588815701862</v>
      </c>
      <c r="V27" s="636">
        <f t="shared" ca="1" si="26"/>
        <v>711.5373539642892</v>
      </c>
      <c r="W27" s="636">
        <f ca="1">V24+W4+W11+W5-W15-W17-W18-W19-W20-W21</f>
        <v>18507.635014870357</v>
      </c>
    </row>
    <row r="28" spans="1:23" s="31" customFormat="1" ht="25" customHeight="1">
      <c r="A28" s="785"/>
      <c r="B28" s="635" t="s">
        <v>194</v>
      </c>
      <c r="C28" s="635"/>
      <c r="D28" s="636"/>
      <c r="E28" s="636"/>
      <c r="F28" s="636"/>
      <c r="G28" s="636"/>
      <c r="H28" s="636"/>
      <c r="I28" s="636"/>
      <c r="J28" s="636"/>
      <c r="K28" s="636"/>
      <c r="L28" s="636"/>
      <c r="M28" s="636"/>
      <c r="N28" s="636"/>
      <c r="O28" s="636"/>
      <c r="P28" s="636"/>
      <c r="Q28" s="636"/>
      <c r="R28" s="636"/>
      <c r="S28" s="638"/>
      <c r="T28" s="638"/>
      <c r="U28" s="638"/>
      <c r="V28" s="638"/>
      <c r="W28" s="636">
        <f ca="1">C7+附表9利润表!C15</f>
        <v>63545.424925000007</v>
      </c>
    </row>
    <row r="29" spans="1:23">
      <c r="A29" s="334" t="s">
        <v>324</v>
      </c>
      <c r="B29" s="484" t="s">
        <v>379</v>
      </c>
      <c r="C29" s="484" t="s">
        <v>497</v>
      </c>
      <c r="D29" s="484" t="s">
        <v>477</v>
      </c>
      <c r="E29" s="484" t="s">
        <v>478</v>
      </c>
      <c r="F29" s="484" t="s">
        <v>479</v>
      </c>
      <c r="G29" s="484" t="s">
        <v>480</v>
      </c>
      <c r="H29" s="484" t="s">
        <v>481</v>
      </c>
      <c r="I29" s="484" t="s">
        <v>482</v>
      </c>
      <c r="J29" s="484" t="s">
        <v>483</v>
      </c>
      <c r="K29" s="484" t="s">
        <v>484</v>
      </c>
      <c r="L29" s="484" t="s">
        <v>485</v>
      </c>
      <c r="M29" s="484" t="s">
        <v>486</v>
      </c>
      <c r="N29" s="484" t="s">
        <v>487</v>
      </c>
      <c r="O29" s="484" t="s">
        <v>488</v>
      </c>
      <c r="P29" s="484" t="s">
        <v>489</v>
      </c>
      <c r="Q29" s="484" t="s">
        <v>490</v>
      </c>
      <c r="R29" s="484" t="s">
        <v>491</v>
      </c>
      <c r="S29" s="484" t="s">
        <v>492</v>
      </c>
      <c r="T29" s="484" t="s">
        <v>493</v>
      </c>
      <c r="U29" s="484" t="s">
        <v>494</v>
      </c>
      <c r="V29" s="484" t="s">
        <v>495</v>
      </c>
      <c r="W29" s="484" t="s">
        <v>496</v>
      </c>
    </row>
    <row r="30" spans="1:23">
      <c r="A30" s="334">
        <v>1</v>
      </c>
      <c r="B30" s="442" t="s">
        <v>751</v>
      </c>
      <c r="C30" s="442">
        <f ca="1">SUM(D30:W30)</f>
        <v>63545.424924999999</v>
      </c>
      <c r="D30" s="442">
        <f>D22</f>
        <v>0</v>
      </c>
      <c r="E30" s="442">
        <f t="shared" ref="E30:W30" si="27">E22</f>
        <v>0</v>
      </c>
      <c r="F30" s="442">
        <f t="shared" ca="1" si="27"/>
        <v>0</v>
      </c>
      <c r="G30" s="442">
        <f t="shared" ca="1" si="27"/>
        <v>25062.612288242774</v>
      </c>
      <c r="H30" s="442">
        <f t="shared" ca="1" si="27"/>
        <v>10675.177621886867</v>
      </c>
      <c r="I30" s="442">
        <f t="shared" si="27"/>
        <v>9300</v>
      </c>
      <c r="J30" s="442">
        <f t="shared" si="27"/>
        <v>0</v>
      </c>
      <c r="K30" s="442">
        <f t="shared" si="27"/>
        <v>0</v>
      </c>
      <c r="L30" s="442">
        <f t="shared" si="27"/>
        <v>0</v>
      </c>
      <c r="M30" s="442">
        <f t="shared" si="27"/>
        <v>0</v>
      </c>
      <c r="N30" s="442">
        <f t="shared" si="27"/>
        <v>0</v>
      </c>
      <c r="O30" s="442">
        <f t="shared" si="27"/>
        <v>0</v>
      </c>
      <c r="P30" s="442">
        <f t="shared" si="27"/>
        <v>0</v>
      </c>
      <c r="Q30" s="442">
        <f t="shared" si="27"/>
        <v>0</v>
      </c>
      <c r="R30" s="442">
        <f t="shared" si="27"/>
        <v>0</v>
      </c>
      <c r="S30" s="442">
        <f t="shared" si="27"/>
        <v>0</v>
      </c>
      <c r="T30" s="442">
        <f t="shared" si="27"/>
        <v>0</v>
      </c>
      <c r="U30" s="442">
        <f t="shared" si="27"/>
        <v>0</v>
      </c>
      <c r="V30" s="442">
        <f t="shared" si="27"/>
        <v>0</v>
      </c>
      <c r="W30" s="442">
        <f t="shared" ca="1" si="27"/>
        <v>18507.635014870357</v>
      </c>
    </row>
    <row r="31" spans="1:23">
      <c r="A31" s="334">
        <v>2</v>
      </c>
      <c r="B31" s="442" t="s">
        <v>750</v>
      </c>
      <c r="C31" s="442"/>
      <c r="D31" s="442">
        <f ca="1">C22-附表9利润表!C15</f>
        <v>63045.424924999999</v>
      </c>
      <c r="E31" s="442">
        <f ca="1">D31-E30</f>
        <v>63045.424924999999</v>
      </c>
      <c r="F31" s="442">
        <f t="shared" ref="F31:V31" ca="1" si="28">E31-F30</f>
        <v>63045.424924999999</v>
      </c>
      <c r="G31" s="442">
        <f t="shared" ca="1" si="28"/>
        <v>37982.812636757226</v>
      </c>
      <c r="H31" s="442">
        <f t="shared" ca="1" si="28"/>
        <v>27307.635014870357</v>
      </c>
      <c r="I31" s="442">
        <f t="shared" ca="1" si="28"/>
        <v>18007.635014870357</v>
      </c>
      <c r="J31" s="442">
        <f t="shared" ca="1" si="28"/>
        <v>18007.635014870357</v>
      </c>
      <c r="K31" s="442">
        <f t="shared" ca="1" si="28"/>
        <v>18007.635014870357</v>
      </c>
      <c r="L31" s="442">
        <f t="shared" ca="1" si="28"/>
        <v>18007.635014870357</v>
      </c>
      <c r="M31" s="442">
        <f t="shared" ca="1" si="28"/>
        <v>18007.635014870357</v>
      </c>
      <c r="N31" s="442">
        <f t="shared" ca="1" si="28"/>
        <v>18007.635014870357</v>
      </c>
      <c r="O31" s="442">
        <f t="shared" ca="1" si="28"/>
        <v>18007.635014870357</v>
      </c>
      <c r="P31" s="442">
        <f t="shared" ca="1" si="28"/>
        <v>18007.635014870357</v>
      </c>
      <c r="Q31" s="442">
        <f t="shared" ca="1" si="28"/>
        <v>18007.635014870357</v>
      </c>
      <c r="R31" s="442">
        <f t="shared" ca="1" si="28"/>
        <v>18007.635014870357</v>
      </c>
      <c r="S31" s="442">
        <f t="shared" ca="1" si="28"/>
        <v>18007.635014870357</v>
      </c>
      <c r="T31" s="442">
        <f t="shared" ca="1" si="28"/>
        <v>18007.635014870357</v>
      </c>
      <c r="U31" s="442">
        <f t="shared" ca="1" si="28"/>
        <v>18007.635014870357</v>
      </c>
      <c r="V31" s="442">
        <f t="shared" ca="1" si="28"/>
        <v>18007.635014870357</v>
      </c>
      <c r="W31" s="442">
        <f ca="1">V31-W30+附表9利润表!C15</f>
        <v>0</v>
      </c>
    </row>
    <row r="32" spans="1:23">
      <c r="A32" s="34"/>
      <c r="B32" s="34"/>
      <c r="C32" s="34"/>
      <c r="D32" s="34"/>
      <c r="E32" s="34"/>
      <c r="F32" s="34"/>
      <c r="G32" s="34"/>
      <c r="H32" s="34"/>
      <c r="I32" s="34"/>
      <c r="J32" s="34"/>
      <c r="K32" s="34"/>
      <c r="L32" s="34"/>
      <c r="M32" s="34"/>
      <c r="N32" s="34"/>
      <c r="O32" s="34"/>
      <c r="P32" s="34"/>
      <c r="Q32" s="34"/>
      <c r="R32" s="34"/>
      <c r="S32" s="34"/>
      <c r="T32" s="34"/>
      <c r="U32" s="34"/>
      <c r="V32" s="34"/>
      <c r="W32" s="34"/>
    </row>
    <row r="33" spans="1:18" ht="15">
      <c r="A33" s="469" t="s">
        <v>554</v>
      </c>
      <c r="B33" s="470"/>
      <c r="F33" s="34"/>
      <c r="G33" s="34"/>
      <c r="H33" s="34"/>
      <c r="I33" s="34"/>
      <c r="J33" s="34"/>
      <c r="K33" s="34"/>
      <c r="L33" s="34"/>
      <c r="M33" s="34"/>
      <c r="N33" s="34"/>
      <c r="O33" s="34"/>
      <c r="P33" s="34"/>
      <c r="Q33" s="34"/>
      <c r="R33" s="34"/>
    </row>
    <row r="34" spans="1:18">
      <c r="A34" s="34"/>
      <c r="B34" s="34"/>
      <c r="F34" s="34"/>
      <c r="G34" s="34"/>
      <c r="H34" s="34"/>
      <c r="I34" s="34"/>
      <c r="J34" s="34"/>
      <c r="K34" s="34"/>
      <c r="L34" s="34"/>
      <c r="M34" s="34"/>
      <c r="N34" s="34"/>
      <c r="O34" s="34"/>
      <c r="P34" s="34"/>
      <c r="Q34" s="34"/>
      <c r="R34" s="34"/>
    </row>
    <row r="35" spans="1:18">
      <c r="A35" s="34"/>
      <c r="B35" s="34"/>
      <c r="G35" s="34"/>
      <c r="H35" s="34"/>
      <c r="I35" s="34"/>
      <c r="J35" s="34"/>
      <c r="K35" s="34"/>
      <c r="L35" s="34"/>
      <c r="M35" s="34"/>
      <c r="N35" s="34"/>
      <c r="O35" s="34"/>
      <c r="P35" s="34"/>
      <c r="Q35" s="34"/>
      <c r="R35" s="34"/>
    </row>
    <row r="36" spans="1:18">
      <c r="A36" s="34"/>
      <c r="B36" s="34"/>
      <c r="C36" s="34"/>
      <c r="G36" s="34"/>
      <c r="H36" s="34"/>
      <c r="I36" s="34"/>
      <c r="J36" s="34"/>
      <c r="K36" s="34"/>
      <c r="L36" s="34"/>
      <c r="M36" s="34"/>
      <c r="N36" s="34"/>
      <c r="O36" s="34"/>
      <c r="P36" s="34"/>
      <c r="Q36" s="34"/>
      <c r="R36" s="34"/>
    </row>
    <row r="38" spans="1:18">
      <c r="D38" s="665"/>
    </row>
  </sheetData>
  <mergeCells count="2">
    <mergeCell ref="A1:Q1"/>
    <mergeCell ref="A25:A28"/>
  </mergeCells>
  <phoneticPr fontId="27" type="noConversion"/>
  <conditionalFormatting sqref="C25">
    <cfRule type="cellIs" dxfId="1" priority="1" operator="equal">
      <formula>"错误"</formula>
    </cfRule>
  </conditionalFormatting>
  <hyperlinks>
    <hyperlink ref="A33" location="目录!A1" display="点击返回目录"/>
  </hyperlinks>
  <pageMargins left="0.69930555555555596" right="0.69930555555555596" top="0.75" bottom="0.75" header="0.3" footer="0.3"/>
  <pageSetup paperSize="9" scale="38"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58"/>
  <sheetViews>
    <sheetView zoomScale="80" zoomScaleNormal="80" zoomScaleSheetLayoutView="80" workbookViewId="0">
      <pane xSplit="3" topLeftCell="D1" activePane="topRight" state="frozen"/>
      <selection pane="topRight" activeCell="E38" sqref="E38"/>
    </sheetView>
  </sheetViews>
  <sheetFormatPr defaultColWidth="9" defaultRowHeight="11.5"/>
  <cols>
    <col min="1" max="1" width="2.453125" style="22" customWidth="1"/>
    <col min="2" max="2" width="5.453125" style="22" customWidth="1"/>
    <col min="3" max="3" width="17.90625" style="22" customWidth="1"/>
    <col min="4" max="4" width="11.08984375" style="22" customWidth="1"/>
    <col min="5" max="19" width="10.6328125" style="22" customWidth="1"/>
    <col min="20" max="16384" width="9" style="22"/>
  </cols>
  <sheetData>
    <row r="1" spans="2:24" ht="6" customHeight="1"/>
    <row r="2" spans="2:24" ht="30" customHeight="1">
      <c r="B2" s="770" t="s">
        <v>734</v>
      </c>
      <c r="C2" s="771"/>
      <c r="D2" s="771"/>
      <c r="E2" s="771"/>
      <c r="F2" s="771"/>
      <c r="G2" s="771"/>
      <c r="H2" s="771"/>
      <c r="I2" s="771"/>
      <c r="J2" s="771"/>
      <c r="K2" s="771"/>
      <c r="L2" s="771"/>
      <c r="M2" s="771"/>
      <c r="N2" s="771"/>
      <c r="O2" s="771"/>
      <c r="P2" s="771"/>
      <c r="Q2" s="771"/>
      <c r="R2" s="771"/>
      <c r="S2" s="377"/>
    </row>
    <row r="3" spans="2:24" s="511" customFormat="1" ht="17.25" customHeight="1">
      <c r="B3" s="23" t="s">
        <v>574</v>
      </c>
      <c r="C3" s="23" t="s">
        <v>573</v>
      </c>
      <c r="D3" s="23"/>
      <c r="E3" s="484" t="s">
        <v>477</v>
      </c>
      <c r="F3" s="484" t="s">
        <v>478</v>
      </c>
      <c r="G3" s="484" t="s">
        <v>479</v>
      </c>
      <c r="H3" s="484" t="s">
        <v>480</v>
      </c>
      <c r="I3" s="484" t="s">
        <v>481</v>
      </c>
      <c r="J3" s="484" t="s">
        <v>482</v>
      </c>
      <c r="K3" s="484" t="s">
        <v>483</v>
      </c>
      <c r="L3" s="484" t="s">
        <v>484</v>
      </c>
      <c r="M3" s="484" t="s">
        <v>485</v>
      </c>
      <c r="N3" s="484" t="s">
        <v>486</v>
      </c>
      <c r="O3" s="484" t="s">
        <v>487</v>
      </c>
      <c r="P3" s="484" t="s">
        <v>488</v>
      </c>
      <c r="Q3" s="484" t="s">
        <v>489</v>
      </c>
      <c r="R3" s="484" t="s">
        <v>490</v>
      </c>
      <c r="S3" s="484" t="s">
        <v>491</v>
      </c>
      <c r="T3" s="484" t="s">
        <v>492</v>
      </c>
      <c r="U3" s="484" t="s">
        <v>493</v>
      </c>
      <c r="V3" s="484" t="s">
        <v>494</v>
      </c>
      <c r="W3" s="484" t="s">
        <v>495</v>
      </c>
      <c r="X3" s="484" t="s">
        <v>496</v>
      </c>
    </row>
    <row r="4" spans="2:24" s="21" customFormat="1" ht="30" customHeight="1">
      <c r="B4" s="23">
        <v>1</v>
      </c>
      <c r="C4" s="24" t="s">
        <v>195</v>
      </c>
      <c r="D4" s="410">
        <f ca="1">SUM(E4:X4)</f>
        <v>107325.85008150735</v>
      </c>
      <c r="E4" s="410">
        <f t="shared" ref="E4:P4" ca="1" si="0">E5-E7</f>
        <v>0</v>
      </c>
      <c r="F4" s="410">
        <f t="shared" si="0"/>
        <v>-100</v>
      </c>
      <c r="G4" s="410">
        <f t="shared" si="0"/>
        <v>-100</v>
      </c>
      <c r="H4" s="410">
        <f t="shared" si="0"/>
        <v>22689.563680000007</v>
      </c>
      <c r="I4" s="410">
        <f t="shared" si="0"/>
        <v>8778.3254720000004</v>
      </c>
      <c r="J4" s="410">
        <f t="shared" si="0"/>
        <v>8778.3254720000004</v>
      </c>
      <c r="K4" s="410">
        <f t="shared" si="0"/>
        <v>12196.760024000001</v>
      </c>
      <c r="L4" s="410">
        <f t="shared" si="0"/>
        <v>6499.3691040000003</v>
      </c>
      <c r="M4" s="410">
        <f t="shared" si="0"/>
        <v>4220.4127360000002</v>
      </c>
      <c r="N4" s="410">
        <f t="shared" si="0"/>
        <v>3080.9345520000002</v>
      </c>
      <c r="O4" s="410">
        <f t="shared" ca="1" si="0"/>
        <v>1941.4563680000001</v>
      </c>
      <c r="P4" s="410">
        <f t="shared" ca="1" si="0"/>
        <v>1941.4563680000001</v>
      </c>
      <c r="Q4" s="410">
        <f t="shared" ref="Q4:U4" ca="1" si="1">Q5-Q7</f>
        <v>1941.4563680000001</v>
      </c>
      <c r="R4" s="410">
        <f t="shared" ca="1" si="1"/>
        <v>1941.4563680000001</v>
      </c>
      <c r="S4" s="410">
        <f t="shared" ca="1" si="1"/>
        <v>1941.4563680000001</v>
      </c>
      <c r="T4" s="410">
        <f t="shared" ca="1" si="1"/>
        <v>1941.4563680000001</v>
      </c>
      <c r="U4" s="410">
        <f t="shared" ca="1" si="1"/>
        <v>1941.4563680000001</v>
      </c>
      <c r="V4" s="410">
        <f t="shared" ref="V4:X4" ca="1" si="2">V5-V7</f>
        <v>1941.4563680000001</v>
      </c>
      <c r="W4" s="410">
        <f t="shared" ca="1" si="2"/>
        <v>1941.4563680000001</v>
      </c>
      <c r="X4" s="410">
        <f t="shared" ca="1" si="2"/>
        <v>23809.051729507359</v>
      </c>
    </row>
    <row r="5" spans="2:24" ht="17.25" customHeight="1">
      <c r="B5" s="25">
        <v>1.1000000000000001</v>
      </c>
      <c r="C5" s="26" t="s">
        <v>196</v>
      </c>
      <c r="D5" s="410">
        <f>SUM(E5:X5)</f>
        <v>115945.07200000001</v>
      </c>
      <c r="E5" s="411">
        <f>SUM(E6:E6)</f>
        <v>0</v>
      </c>
      <c r="F5" s="411">
        <f>SUM(F6:F6)</f>
        <v>0</v>
      </c>
      <c r="G5" s="411">
        <f t="shared" ref="G5:M5" si="3">SUM(G6:G6)</f>
        <v>0</v>
      </c>
      <c r="H5" s="411">
        <f t="shared" si="3"/>
        <v>23989.014400000007</v>
      </c>
      <c r="I5" s="411">
        <f t="shared" si="3"/>
        <v>9345.6057600000004</v>
      </c>
      <c r="J5" s="411">
        <f t="shared" si="3"/>
        <v>9345.6057600000004</v>
      </c>
      <c r="K5" s="411">
        <f t="shared" si="3"/>
        <v>12943.957920000001</v>
      </c>
      <c r="L5" s="411">
        <f t="shared" si="3"/>
        <v>6946.7043200000007</v>
      </c>
      <c r="M5" s="411">
        <f t="shared" si="3"/>
        <v>4547.8028800000002</v>
      </c>
      <c r="N5" s="411">
        <f>SUM(N6:N6)</f>
        <v>3348.3521600000004</v>
      </c>
      <c r="O5" s="411">
        <f>SUM(O6:O6)</f>
        <v>2148.9014400000001</v>
      </c>
      <c r="P5" s="411">
        <f t="shared" ref="P5:X5" si="4">SUM(P6:P6)</f>
        <v>2148.9014400000001</v>
      </c>
      <c r="Q5" s="411">
        <f t="shared" si="4"/>
        <v>2148.9014400000001</v>
      </c>
      <c r="R5" s="411">
        <f t="shared" si="4"/>
        <v>2148.9014400000001</v>
      </c>
      <c r="S5" s="411">
        <f t="shared" si="4"/>
        <v>2148.9014400000001</v>
      </c>
      <c r="T5" s="411">
        <f t="shared" si="4"/>
        <v>2148.9014400000001</v>
      </c>
      <c r="U5" s="411">
        <f t="shared" si="4"/>
        <v>2148.9014400000001</v>
      </c>
      <c r="V5" s="411">
        <f t="shared" si="4"/>
        <v>2148.9014400000001</v>
      </c>
      <c r="W5" s="411">
        <f t="shared" si="4"/>
        <v>2148.9014400000001</v>
      </c>
      <c r="X5" s="411">
        <f t="shared" si="4"/>
        <v>26137.915840000001</v>
      </c>
    </row>
    <row r="6" spans="2:24" ht="17.25" customHeight="1">
      <c r="B6" s="13" t="s">
        <v>46</v>
      </c>
      <c r="C6" s="26" t="s">
        <v>534</v>
      </c>
      <c r="D6" s="410">
        <f>SUM(E6:X6)</f>
        <v>115945.07200000001</v>
      </c>
      <c r="E6" s="411">
        <f>附表3营业收入汇总表!D3</f>
        <v>0</v>
      </c>
      <c r="F6" s="411">
        <f>附表3营业收入汇总表!E3</f>
        <v>0</v>
      </c>
      <c r="G6" s="411">
        <f>附表3营业收入汇总表!F3</f>
        <v>0</v>
      </c>
      <c r="H6" s="411">
        <f>附表3营业收入汇总表!G3</f>
        <v>23989.014400000007</v>
      </c>
      <c r="I6" s="411">
        <f>附表3营业收入汇总表!H3</f>
        <v>9345.6057600000004</v>
      </c>
      <c r="J6" s="411">
        <f>附表3营业收入汇总表!I3</f>
        <v>9345.6057600000004</v>
      </c>
      <c r="K6" s="411">
        <f>附表3营业收入汇总表!J3</f>
        <v>12943.957920000001</v>
      </c>
      <c r="L6" s="411">
        <f>附表3营业收入汇总表!K3</f>
        <v>6946.7043200000007</v>
      </c>
      <c r="M6" s="411">
        <f>附表3营业收入汇总表!L3</f>
        <v>4547.8028800000002</v>
      </c>
      <c r="N6" s="411">
        <f>附表3营业收入汇总表!M3</f>
        <v>3348.3521600000004</v>
      </c>
      <c r="O6" s="411">
        <f>附表3营业收入汇总表!N3</f>
        <v>2148.9014400000001</v>
      </c>
      <c r="P6" s="411">
        <f>附表3营业收入汇总表!O3</f>
        <v>2148.9014400000001</v>
      </c>
      <c r="Q6" s="411">
        <f>附表3营业收入汇总表!P3</f>
        <v>2148.9014400000001</v>
      </c>
      <c r="R6" s="411">
        <f>附表3营业收入汇总表!Q3</f>
        <v>2148.9014400000001</v>
      </c>
      <c r="S6" s="411">
        <f>附表3营业收入汇总表!R3</f>
        <v>2148.9014400000001</v>
      </c>
      <c r="T6" s="411">
        <f>附表3营业收入汇总表!S3</f>
        <v>2148.9014400000001</v>
      </c>
      <c r="U6" s="411">
        <f>附表3营业收入汇总表!T3</f>
        <v>2148.9014400000001</v>
      </c>
      <c r="V6" s="411">
        <f>附表3营业收入汇总表!U3</f>
        <v>2148.9014400000001</v>
      </c>
      <c r="W6" s="411">
        <f>附表3营业收入汇总表!V3</f>
        <v>2148.9014400000001</v>
      </c>
      <c r="X6" s="411">
        <f>附表3营业收入汇总表!W3</f>
        <v>26137.915840000001</v>
      </c>
    </row>
    <row r="7" spans="2:24" ht="17.25" customHeight="1">
      <c r="B7" s="25">
        <v>1.2</v>
      </c>
      <c r="C7" s="26" t="s">
        <v>197</v>
      </c>
      <c r="D7" s="410">
        <f ca="1">SUM(E7:X7)</f>
        <v>8619.2219184926471</v>
      </c>
      <c r="E7" s="411">
        <f ca="1">SUM(E8:E11)</f>
        <v>0</v>
      </c>
      <c r="F7" s="411">
        <f>SUM(F8:F11)</f>
        <v>100</v>
      </c>
      <c r="G7" s="411">
        <f t="shared" ref="G7:M7" si="5">SUM(G8:G11)</f>
        <v>100</v>
      </c>
      <c r="H7" s="411">
        <f t="shared" si="5"/>
        <v>1299.4507200000005</v>
      </c>
      <c r="I7" s="411">
        <f t="shared" si="5"/>
        <v>567.28028800000004</v>
      </c>
      <c r="J7" s="411">
        <f t="shared" si="5"/>
        <v>567.28028800000004</v>
      </c>
      <c r="K7" s="411">
        <f t="shared" si="5"/>
        <v>747.19789600000013</v>
      </c>
      <c r="L7" s="411">
        <f t="shared" si="5"/>
        <v>447.33521600000006</v>
      </c>
      <c r="M7" s="411">
        <f t="shared" si="5"/>
        <v>327.39014400000002</v>
      </c>
      <c r="N7" s="411">
        <f>SUM(N8:N11)</f>
        <v>267.41760800000003</v>
      </c>
      <c r="O7" s="411">
        <f ca="1">SUM(O8:O11)</f>
        <v>207.44507200000001</v>
      </c>
      <c r="P7" s="411">
        <f t="shared" ref="P7:T7" ca="1" si="6">SUM(P8:P11)</f>
        <v>207.44507200000001</v>
      </c>
      <c r="Q7" s="411">
        <f t="shared" ca="1" si="6"/>
        <v>207.44507200000001</v>
      </c>
      <c r="R7" s="411">
        <f t="shared" ca="1" si="6"/>
        <v>207.44507200000001</v>
      </c>
      <c r="S7" s="411">
        <f t="shared" ca="1" si="6"/>
        <v>207.44507200000001</v>
      </c>
      <c r="T7" s="411">
        <f t="shared" ca="1" si="6"/>
        <v>207.44507200000001</v>
      </c>
      <c r="U7" s="411">
        <f t="shared" ref="U7:X7" ca="1" si="7">SUM(U8:U11)</f>
        <v>207.44507200000001</v>
      </c>
      <c r="V7" s="411">
        <f t="shared" ca="1" si="7"/>
        <v>207.44507200000001</v>
      </c>
      <c r="W7" s="411">
        <f t="shared" ca="1" si="7"/>
        <v>207.44507200000001</v>
      </c>
      <c r="X7" s="411">
        <f t="shared" ca="1" si="7"/>
        <v>2328.8641104926428</v>
      </c>
    </row>
    <row r="8" spans="2:24" ht="17.25" customHeight="1">
      <c r="B8" s="13" t="s">
        <v>61</v>
      </c>
      <c r="C8" s="26" t="s">
        <v>198</v>
      </c>
      <c r="D8" s="410">
        <f>SUM(E8:X8)</f>
        <v>7697.2536000000046</v>
      </c>
      <c r="E8" s="411">
        <f>'附表5 运营成本汇总表'!E3</f>
        <v>0</v>
      </c>
      <c r="F8" s="411">
        <f>'附表5 运营成本汇总表'!F3</f>
        <v>100</v>
      </c>
      <c r="G8" s="411">
        <f>'附表5 运营成本汇总表'!G3</f>
        <v>100</v>
      </c>
      <c r="H8" s="411">
        <f>'附表5 运营成本汇总表'!H3</f>
        <v>1299.4507200000005</v>
      </c>
      <c r="I8" s="411">
        <f>'附表5 运营成本汇总表'!I3</f>
        <v>567.28028800000004</v>
      </c>
      <c r="J8" s="411">
        <f>'附表5 运营成本汇总表'!J3</f>
        <v>567.28028800000004</v>
      </c>
      <c r="K8" s="411">
        <f>'附表5 运营成本汇总表'!K3</f>
        <v>747.19789600000013</v>
      </c>
      <c r="L8" s="411">
        <f>'附表5 运营成本汇总表'!L3</f>
        <v>447.33521600000006</v>
      </c>
      <c r="M8" s="411">
        <f>'附表5 运营成本汇总表'!M3</f>
        <v>327.39014400000002</v>
      </c>
      <c r="N8" s="411">
        <f>'附表5 运营成本汇总表'!N3</f>
        <v>267.41760800000003</v>
      </c>
      <c r="O8" s="411">
        <f>'附表5 运营成本汇总表'!O3</f>
        <v>207.44507200000001</v>
      </c>
      <c r="P8" s="411">
        <f>'附表5 运营成本汇总表'!P3</f>
        <v>207.44507200000001</v>
      </c>
      <c r="Q8" s="411">
        <f>'附表5 运营成本汇总表'!Q3</f>
        <v>207.44507200000001</v>
      </c>
      <c r="R8" s="411">
        <f>'附表5 运营成本汇总表'!R3</f>
        <v>207.44507200000001</v>
      </c>
      <c r="S8" s="411">
        <f>'附表5 运营成本汇总表'!S3</f>
        <v>207.44507200000001</v>
      </c>
      <c r="T8" s="411">
        <f>'附表5 运营成本汇总表'!T3</f>
        <v>207.44507200000001</v>
      </c>
      <c r="U8" s="411">
        <f>'附表5 运营成本汇总表'!U3</f>
        <v>207.44507200000001</v>
      </c>
      <c r="V8" s="411">
        <f>'附表5 运营成本汇总表'!V3</f>
        <v>207.44507200000001</v>
      </c>
      <c r="W8" s="411">
        <f>'附表5 运营成本汇总表'!W3</f>
        <v>207.44507200000001</v>
      </c>
      <c r="X8" s="411">
        <f>'附表5 运营成本汇总表'!X3</f>
        <v>1406.8957920000003</v>
      </c>
    </row>
    <row r="9" spans="2:24" ht="17.25" hidden="1" customHeight="1">
      <c r="B9" s="13" t="s">
        <v>63</v>
      </c>
      <c r="C9" s="26"/>
      <c r="D9" s="410"/>
      <c r="E9" s="411"/>
      <c r="F9" s="411"/>
      <c r="G9" s="411"/>
      <c r="H9" s="411"/>
      <c r="I9" s="411"/>
      <c r="J9" s="411"/>
      <c r="K9" s="411"/>
      <c r="L9" s="411"/>
      <c r="M9" s="411"/>
      <c r="N9" s="411"/>
      <c r="O9" s="411"/>
      <c r="P9" s="411"/>
      <c r="Q9" s="411"/>
      <c r="R9" s="411"/>
      <c r="S9" s="411"/>
      <c r="T9" s="411"/>
      <c r="U9" s="411"/>
      <c r="V9" s="411"/>
      <c r="W9" s="411"/>
      <c r="X9" s="411"/>
    </row>
    <row r="10" spans="2:24" ht="17.25" customHeight="1">
      <c r="B10" s="13" t="s">
        <v>79</v>
      </c>
      <c r="C10" s="26" t="s">
        <v>121</v>
      </c>
      <c r="D10" s="410">
        <f t="shared" ref="D10:D30" ca="1" si="8">SUM(E10:X10)</f>
        <v>921.96831849264277</v>
      </c>
      <c r="E10" s="411">
        <f ca="1">附表9利润表!D5</f>
        <v>0</v>
      </c>
      <c r="F10" s="411">
        <f>附表9利润表!E5</f>
        <v>0</v>
      </c>
      <c r="G10" s="411">
        <f>附表9利润表!F5</f>
        <v>0</v>
      </c>
      <c r="H10" s="411">
        <f>附表9利润表!G5</f>
        <v>0</v>
      </c>
      <c r="I10" s="411">
        <f>附表9利润表!H5</f>
        <v>0</v>
      </c>
      <c r="J10" s="411">
        <f>附表9利润表!I5</f>
        <v>0</v>
      </c>
      <c r="K10" s="411">
        <f>附表9利润表!J5</f>
        <v>0</v>
      </c>
      <c r="L10" s="411">
        <f>附表9利润表!K5</f>
        <v>0</v>
      </c>
      <c r="M10" s="411">
        <f>附表9利润表!L5</f>
        <v>0</v>
      </c>
      <c r="N10" s="411">
        <f>附表9利润表!M5</f>
        <v>0</v>
      </c>
      <c r="O10" s="411">
        <f>附表9利润表!N5</f>
        <v>0</v>
      </c>
      <c r="P10" s="411">
        <f>附表9利润表!O5</f>
        <v>0</v>
      </c>
      <c r="Q10" s="411">
        <f>附表9利润表!P5</f>
        <v>0</v>
      </c>
      <c r="R10" s="411">
        <f>附表9利润表!Q5</f>
        <v>0</v>
      </c>
      <c r="S10" s="411">
        <f>附表9利润表!R5</f>
        <v>0</v>
      </c>
      <c r="T10" s="411">
        <f>附表9利润表!S5</f>
        <v>0</v>
      </c>
      <c r="U10" s="411">
        <f>附表9利润表!T5</f>
        <v>0</v>
      </c>
      <c r="V10" s="411">
        <f>附表9利润表!U5</f>
        <v>0</v>
      </c>
      <c r="W10" s="411">
        <f>附表9利润表!V5</f>
        <v>0</v>
      </c>
      <c r="X10" s="411">
        <f>附表9利润表!W5</f>
        <v>921.96831849264277</v>
      </c>
    </row>
    <row r="11" spans="2:24" ht="17.25" customHeight="1">
      <c r="B11" s="13" t="s">
        <v>80</v>
      </c>
      <c r="C11" s="26" t="s">
        <v>187</v>
      </c>
      <c r="D11" s="410">
        <f t="shared" ca="1" si="8"/>
        <v>0</v>
      </c>
      <c r="E11" s="411">
        <f ca="1">附表9利润表!D11</f>
        <v>0</v>
      </c>
      <c r="F11" s="411">
        <f>附表9利润表!E11</f>
        <v>0</v>
      </c>
      <c r="G11" s="411">
        <f>附表9利润表!F11</f>
        <v>0</v>
      </c>
      <c r="H11" s="411">
        <f>附表9利润表!G11</f>
        <v>0</v>
      </c>
      <c r="I11" s="411">
        <f>附表9利润表!H11</f>
        <v>0</v>
      </c>
      <c r="J11" s="411">
        <f>附表9利润表!I11</f>
        <v>0</v>
      </c>
      <c r="K11" s="411">
        <f>附表9利润表!J11</f>
        <v>0</v>
      </c>
      <c r="L11" s="411">
        <f>附表9利润表!K11</f>
        <v>0</v>
      </c>
      <c r="M11" s="411">
        <f>附表9利润表!L11</f>
        <v>0</v>
      </c>
      <c r="N11" s="411">
        <f>附表9利润表!M11</f>
        <v>0</v>
      </c>
      <c r="O11" s="411">
        <f ca="1">附表9利润表!N11</f>
        <v>0</v>
      </c>
      <c r="P11" s="411">
        <f ca="1">附表9利润表!O11</f>
        <v>0</v>
      </c>
      <c r="Q11" s="411">
        <f ca="1">附表9利润表!P11</f>
        <v>0</v>
      </c>
      <c r="R11" s="411">
        <f ca="1">附表9利润表!Q11</f>
        <v>0</v>
      </c>
      <c r="S11" s="411">
        <f ca="1">附表9利润表!R11</f>
        <v>0</v>
      </c>
      <c r="T11" s="411">
        <f ca="1">附表9利润表!S11</f>
        <v>0</v>
      </c>
      <c r="U11" s="411">
        <f ca="1">附表9利润表!T11</f>
        <v>0</v>
      </c>
      <c r="V11" s="411">
        <f ca="1">附表9利润表!U11</f>
        <v>0</v>
      </c>
      <c r="W11" s="411">
        <f ca="1">附表9利润表!V11</f>
        <v>0</v>
      </c>
      <c r="X11" s="411">
        <f ca="1">附表9利润表!W11</f>
        <v>0</v>
      </c>
    </row>
    <row r="12" spans="2:24" s="21" customFormat="1" ht="12">
      <c r="B12" s="23">
        <v>2</v>
      </c>
      <c r="C12" s="24" t="s">
        <v>199</v>
      </c>
      <c r="D12" s="410">
        <f t="shared" si="8"/>
        <v>-106762.97492500002</v>
      </c>
      <c r="E12" s="410">
        <f t="shared" ref="E12:U12" si="9">E13-E14</f>
        <v>-59832.185000000005</v>
      </c>
      <c r="F12" s="410">
        <f t="shared" ref="F12:M12" si="10">F13-F14</f>
        <v>-8809.086325000002</v>
      </c>
      <c r="G12" s="410">
        <f t="shared" si="10"/>
        <v>-4535.695812500001</v>
      </c>
      <c r="H12" s="410">
        <f t="shared" si="10"/>
        <v>-4601.272137500001</v>
      </c>
      <c r="I12" s="410">
        <f t="shared" si="10"/>
        <v>-4666.848462500001</v>
      </c>
      <c r="J12" s="410">
        <f t="shared" si="10"/>
        <v>-4732.424787500001</v>
      </c>
      <c r="K12" s="410">
        <f t="shared" si="10"/>
        <v>-4798.001112500001</v>
      </c>
      <c r="L12" s="410">
        <f t="shared" si="10"/>
        <v>-4863.577437500001</v>
      </c>
      <c r="M12" s="410">
        <f t="shared" si="10"/>
        <v>-4929.153762500001</v>
      </c>
      <c r="N12" s="410">
        <f t="shared" si="9"/>
        <v>-4994.730087500001</v>
      </c>
      <c r="O12" s="410">
        <f t="shared" si="9"/>
        <v>0</v>
      </c>
      <c r="P12" s="410">
        <f t="shared" si="9"/>
        <v>0</v>
      </c>
      <c r="Q12" s="410">
        <f t="shared" si="9"/>
        <v>0</v>
      </c>
      <c r="R12" s="410">
        <f t="shared" si="9"/>
        <v>0</v>
      </c>
      <c r="S12" s="410">
        <f t="shared" si="9"/>
        <v>0</v>
      </c>
      <c r="T12" s="410">
        <f t="shared" si="9"/>
        <v>0</v>
      </c>
      <c r="U12" s="410">
        <f t="shared" si="9"/>
        <v>0</v>
      </c>
      <c r="V12" s="410">
        <f t="shared" ref="V12:X12" si="11">V13-V14</f>
        <v>0</v>
      </c>
      <c r="W12" s="410">
        <f t="shared" si="11"/>
        <v>0</v>
      </c>
      <c r="X12" s="410">
        <f t="shared" si="11"/>
        <v>0</v>
      </c>
    </row>
    <row r="13" spans="2:24" ht="17.25" customHeight="1">
      <c r="B13" s="25">
        <v>2.1</v>
      </c>
      <c r="C13" s="26" t="s">
        <v>196</v>
      </c>
      <c r="D13" s="410">
        <f t="shared" si="8"/>
        <v>0</v>
      </c>
      <c r="E13" s="411"/>
      <c r="F13" s="411"/>
      <c r="G13" s="411"/>
      <c r="H13" s="411"/>
      <c r="I13" s="411"/>
      <c r="J13" s="411"/>
      <c r="K13" s="411"/>
      <c r="L13" s="411"/>
      <c r="M13" s="411"/>
      <c r="N13" s="411"/>
      <c r="O13" s="411"/>
      <c r="P13" s="411"/>
      <c r="Q13" s="411"/>
      <c r="R13" s="411"/>
      <c r="S13" s="411"/>
      <c r="T13" s="411">
        <f>'附表10 资金来源与运用表'!S11</f>
        <v>0</v>
      </c>
      <c r="U13" s="411">
        <f>'附表10 资金来源与运用表'!T11</f>
        <v>0</v>
      </c>
      <c r="V13" s="411">
        <f>'附表10 资金来源与运用表'!U11</f>
        <v>0</v>
      </c>
      <c r="W13" s="411">
        <f>'附表10 资金来源与运用表'!V11</f>
        <v>0</v>
      </c>
      <c r="X13" s="411">
        <f>'附表10 资金来源与运用表'!W11</f>
        <v>0</v>
      </c>
    </row>
    <row r="14" spans="2:24" ht="17.25" customHeight="1">
      <c r="B14" s="25">
        <v>2.2000000000000002</v>
      </c>
      <c r="C14" s="26" t="s">
        <v>197</v>
      </c>
      <c r="D14" s="410">
        <f t="shared" si="8"/>
        <v>106762.97492500002</v>
      </c>
      <c r="E14" s="411">
        <f t="shared" ref="E14:Q14" si="12">SUM(E15:E17)</f>
        <v>59832.185000000005</v>
      </c>
      <c r="F14" s="411">
        <f t="shared" si="12"/>
        <v>8809.086325000002</v>
      </c>
      <c r="G14" s="411">
        <f t="shared" si="12"/>
        <v>4535.695812500001</v>
      </c>
      <c r="H14" s="411">
        <f t="shared" si="12"/>
        <v>4601.272137500001</v>
      </c>
      <c r="I14" s="411">
        <f t="shared" si="12"/>
        <v>4666.848462500001</v>
      </c>
      <c r="J14" s="411">
        <f t="shared" si="12"/>
        <v>4732.424787500001</v>
      </c>
      <c r="K14" s="411">
        <f t="shared" si="12"/>
        <v>4798.001112500001</v>
      </c>
      <c r="L14" s="411">
        <f t="shared" si="12"/>
        <v>4863.577437500001</v>
      </c>
      <c r="M14" s="411">
        <f t="shared" si="12"/>
        <v>4929.153762500001</v>
      </c>
      <c r="N14" s="411">
        <f t="shared" si="12"/>
        <v>4994.730087500001</v>
      </c>
      <c r="O14" s="411">
        <f t="shared" si="12"/>
        <v>0</v>
      </c>
      <c r="P14" s="411">
        <f t="shared" si="12"/>
        <v>0</v>
      </c>
      <c r="Q14" s="411">
        <f t="shared" si="12"/>
        <v>0</v>
      </c>
      <c r="R14" s="411">
        <f t="shared" ref="R14:U14" si="13">SUM(R15:R17)</f>
        <v>0</v>
      </c>
      <c r="S14" s="411">
        <f t="shared" si="13"/>
        <v>0</v>
      </c>
      <c r="T14" s="411">
        <f t="shared" si="13"/>
        <v>0</v>
      </c>
      <c r="U14" s="411">
        <f t="shared" si="13"/>
        <v>0</v>
      </c>
      <c r="V14" s="411">
        <f t="shared" ref="V14:X14" si="14">SUM(V15:V17)</f>
        <v>0</v>
      </c>
      <c r="W14" s="411">
        <f t="shared" si="14"/>
        <v>0</v>
      </c>
      <c r="X14" s="411">
        <f t="shared" si="14"/>
        <v>0</v>
      </c>
    </row>
    <row r="15" spans="2:24" ht="17.25" customHeight="1">
      <c r="B15" s="13" t="s">
        <v>108</v>
      </c>
      <c r="C15" s="26" t="s">
        <v>45</v>
      </c>
      <c r="D15" s="410">
        <f t="shared" si="8"/>
        <v>103549.73500000004</v>
      </c>
      <c r="E15" s="411">
        <f>SUM('附表2 投资计划与资金筹措平衡表 '!D6:D8)</f>
        <v>59832.185000000005</v>
      </c>
      <c r="F15" s="411">
        <f>SUM('附表2 投资计划与资金筹措平衡表 '!E6:E8)</f>
        <v>8743.510000000002</v>
      </c>
      <c r="G15" s="411">
        <f>SUM('附表2 投资计划与资金筹措平衡表 '!F6:F8)</f>
        <v>4371.755000000001</v>
      </c>
      <c r="H15" s="411">
        <f>SUM('附表2 投资计划与资金筹措平衡表 '!G6:G8)</f>
        <v>4371.755000000001</v>
      </c>
      <c r="I15" s="411">
        <f>SUM('附表2 投资计划与资金筹措平衡表 '!H6:H8)</f>
        <v>4371.755000000001</v>
      </c>
      <c r="J15" s="411">
        <f>SUM('附表2 投资计划与资金筹措平衡表 '!I6:I8)</f>
        <v>4371.755000000001</v>
      </c>
      <c r="K15" s="411">
        <f>SUM('附表2 投资计划与资金筹措平衡表 '!J6:J8)</f>
        <v>4371.755000000001</v>
      </c>
      <c r="L15" s="411">
        <f>SUM('附表2 投资计划与资金筹措平衡表 '!K6:K8)</f>
        <v>4371.755000000001</v>
      </c>
      <c r="M15" s="411">
        <f>SUM('附表2 投资计划与资金筹措平衡表 '!L6:L8)</f>
        <v>4371.755000000001</v>
      </c>
      <c r="N15" s="411">
        <f>SUM('附表2 投资计划与资金筹措平衡表 '!M6:M8)</f>
        <v>4371.755000000001</v>
      </c>
      <c r="O15" s="411"/>
      <c r="P15" s="411"/>
      <c r="Q15" s="411"/>
      <c r="R15" s="411"/>
      <c r="S15" s="411"/>
      <c r="T15" s="411"/>
      <c r="U15" s="411"/>
      <c r="V15" s="411"/>
      <c r="W15" s="411"/>
      <c r="X15" s="411"/>
    </row>
    <row r="16" spans="2:24" ht="17.25" customHeight="1">
      <c r="B16" s="13" t="s">
        <v>109</v>
      </c>
      <c r="C16" s="26" t="s">
        <v>70</v>
      </c>
      <c r="D16" s="410">
        <f t="shared" si="8"/>
        <v>3213.2399250000008</v>
      </c>
      <c r="E16" s="411">
        <f>'附表2 投资计划与资金筹措平衡表 '!D9</f>
        <v>0</v>
      </c>
      <c r="F16" s="411">
        <f>'附表2 投资计划与资金筹措平衡表 '!E9</f>
        <v>65.576325000000011</v>
      </c>
      <c r="G16" s="411">
        <f>'附表2 投资计划与资金筹措平衡表 '!F9</f>
        <v>163.94081250000002</v>
      </c>
      <c r="H16" s="411">
        <f>'附表2 投资计划与资金筹措平衡表 '!G9</f>
        <v>229.51713750000005</v>
      </c>
      <c r="I16" s="411">
        <f>'附表2 投资计划与资金筹措平衡表 '!H9</f>
        <v>295.09346250000004</v>
      </c>
      <c r="J16" s="411">
        <f>'附表2 投资计划与资金筹措平衡表 '!I9</f>
        <v>360.66978750000004</v>
      </c>
      <c r="K16" s="411">
        <f>'附表2 投资计划与资金筹措平衡表 '!J9</f>
        <v>426.24611250000009</v>
      </c>
      <c r="L16" s="411">
        <f>'附表2 投资计划与资金筹措平衡表 '!K9</f>
        <v>491.82243750000009</v>
      </c>
      <c r="M16" s="411">
        <f>'附表2 投资计划与资金筹措平衡表 '!L9</f>
        <v>557.39876250000009</v>
      </c>
      <c r="N16" s="411">
        <f>'附表2 投资计划与资金筹措平衡表 '!M9</f>
        <v>622.9750875000002</v>
      </c>
      <c r="O16" s="411"/>
      <c r="P16" s="411"/>
      <c r="Q16" s="411"/>
      <c r="R16" s="411"/>
      <c r="S16" s="411"/>
      <c r="T16" s="411"/>
      <c r="U16" s="411"/>
      <c r="V16" s="411"/>
      <c r="W16" s="411"/>
      <c r="X16" s="411"/>
    </row>
    <row r="17" spans="2:24" ht="26.5" customHeight="1">
      <c r="B17" s="13" t="s">
        <v>110</v>
      </c>
      <c r="C17" s="26" t="s">
        <v>200</v>
      </c>
      <c r="D17" s="410">
        <f t="shared" si="8"/>
        <v>0</v>
      </c>
      <c r="E17" s="411"/>
      <c r="F17" s="411"/>
      <c r="G17" s="411"/>
      <c r="H17" s="411"/>
      <c r="I17" s="411"/>
      <c r="J17" s="411"/>
      <c r="K17" s="411"/>
      <c r="L17" s="411"/>
      <c r="M17" s="411"/>
      <c r="N17" s="411"/>
      <c r="O17" s="411"/>
      <c r="P17" s="411"/>
      <c r="Q17" s="411"/>
      <c r="R17" s="411"/>
      <c r="S17" s="411"/>
      <c r="T17" s="411"/>
      <c r="U17" s="411"/>
      <c r="V17" s="411"/>
      <c r="W17" s="411"/>
      <c r="X17" s="411"/>
    </row>
    <row r="18" spans="2:24" s="21" customFormat="1" ht="12">
      <c r="B18" s="23">
        <v>3</v>
      </c>
      <c r="C18" s="24" t="s">
        <v>201</v>
      </c>
      <c r="D18" s="410">
        <f t="shared" ca="1" si="8"/>
        <v>-562.87515650736532</v>
      </c>
      <c r="E18" s="410">
        <f t="shared" ref="E18:P18" ca="1" si="15">E19-E24</f>
        <v>59832.185000000005</v>
      </c>
      <c r="F18" s="410">
        <f t="shared" ca="1" si="15"/>
        <v>8909.086325000002</v>
      </c>
      <c r="G18" s="410">
        <f t="shared" ca="1" si="15"/>
        <v>4635.695812500001</v>
      </c>
      <c r="H18" s="410">
        <f t="shared" ca="1" si="15"/>
        <v>-17858.774405000007</v>
      </c>
      <c r="I18" s="410">
        <f t="shared" ca="1" si="15"/>
        <v>-4045.9006844999976</v>
      </c>
      <c r="J18" s="410">
        <f t="shared" ca="1" si="15"/>
        <v>-2605.1467376131304</v>
      </c>
      <c r="K18" s="410">
        <f t="shared" ca="1" si="15"/>
        <v>6655.381062085783</v>
      </c>
      <c r="L18" s="410">
        <f t="shared" ca="1" si="15"/>
        <v>6896.0382625875909</v>
      </c>
      <c r="M18" s="410">
        <f t="shared" ca="1" si="15"/>
        <v>7031.646937788315</v>
      </c>
      <c r="N18" s="410">
        <f t="shared" ca="1" si="15"/>
        <v>7132.2394378886765</v>
      </c>
      <c r="O18" s="410">
        <f t="shared" ca="1" si="15"/>
        <v>-5558.0504047211107</v>
      </c>
      <c r="P18" s="410">
        <f t="shared" ca="1" si="15"/>
        <v>-5613.1940348451808</v>
      </c>
      <c r="Q18" s="410">
        <f t="shared" ref="Q18:T18" ca="1" si="16">Q19-Q24</f>
        <v>-5669.164819421113</v>
      </c>
      <c r="R18" s="410">
        <f t="shared" ca="1" si="16"/>
        <v>-5725.9751657656834</v>
      </c>
      <c r="S18" s="410">
        <f t="shared" ca="1" si="16"/>
        <v>-5800.0420150209548</v>
      </c>
      <c r="T18" s="410">
        <f t="shared" ca="1" si="16"/>
        <v>-5964.57494123987</v>
      </c>
      <c r="U18" s="410">
        <f t="shared" ref="U18:X18" ca="1" si="17">U19-U24</f>
        <v>-6030.5808864051787</v>
      </c>
      <c r="V18" s="410">
        <f t="shared" ca="1" si="17"/>
        <v>-6097.5769207479671</v>
      </c>
      <c r="W18" s="410">
        <f t="shared" ca="1" si="17"/>
        <v>-6165.5778956058966</v>
      </c>
      <c r="X18" s="410">
        <f t="shared" ca="1" si="17"/>
        <v>-24520.589083471648</v>
      </c>
    </row>
    <row r="19" spans="2:24" ht="17.25" customHeight="1">
      <c r="B19" s="25">
        <v>3.1</v>
      </c>
      <c r="C19" s="26" t="s">
        <v>196</v>
      </c>
      <c r="D19" s="410">
        <f t="shared" si="8"/>
        <v>106762.97492500002</v>
      </c>
      <c r="E19" s="411">
        <f>SUM(E20:E23)</f>
        <v>59832.185000000005</v>
      </c>
      <c r="F19" s="411">
        <f>SUM(F20:F23)</f>
        <v>8809.086325000002</v>
      </c>
      <c r="G19" s="411">
        <f t="shared" ref="G19:M19" si="18">SUM(G20:G23)</f>
        <v>4535.695812500001</v>
      </c>
      <c r="H19" s="411">
        <f t="shared" si="18"/>
        <v>4601.272137500001</v>
      </c>
      <c r="I19" s="411">
        <f t="shared" si="18"/>
        <v>4666.848462500001</v>
      </c>
      <c r="J19" s="411">
        <f t="shared" si="18"/>
        <v>4732.424787500001</v>
      </c>
      <c r="K19" s="411">
        <f t="shared" si="18"/>
        <v>4798.001112500001</v>
      </c>
      <c r="L19" s="411">
        <f t="shared" si="18"/>
        <v>4863.577437500001</v>
      </c>
      <c r="M19" s="411">
        <f t="shared" si="18"/>
        <v>4929.153762500001</v>
      </c>
      <c r="N19" s="411">
        <f t="shared" ref="N19:X19" si="19">SUM(N20:N23)</f>
        <v>4994.730087500001</v>
      </c>
      <c r="O19" s="411">
        <f t="shared" si="19"/>
        <v>0</v>
      </c>
      <c r="P19" s="411">
        <f t="shared" si="19"/>
        <v>0</v>
      </c>
      <c r="Q19" s="411">
        <f t="shared" si="19"/>
        <v>0</v>
      </c>
      <c r="R19" s="411">
        <f t="shared" si="19"/>
        <v>0</v>
      </c>
      <c r="S19" s="411">
        <f t="shared" si="19"/>
        <v>0</v>
      </c>
      <c r="T19" s="411">
        <f t="shared" si="19"/>
        <v>0</v>
      </c>
      <c r="U19" s="411">
        <f t="shared" si="19"/>
        <v>0</v>
      </c>
      <c r="V19" s="411">
        <f t="shared" si="19"/>
        <v>0</v>
      </c>
      <c r="W19" s="411">
        <f t="shared" si="19"/>
        <v>0</v>
      </c>
      <c r="X19" s="411">
        <f t="shared" si="19"/>
        <v>0</v>
      </c>
    </row>
    <row r="20" spans="2:24" ht="17.25" customHeight="1">
      <c r="B20" s="13" t="s">
        <v>202</v>
      </c>
      <c r="C20" s="26" t="s">
        <v>15</v>
      </c>
      <c r="D20" s="410">
        <f t="shared" si="8"/>
        <v>63045.424925000007</v>
      </c>
      <c r="E20" s="411">
        <f>'附表2 投资计划与资金筹措平衡表 '!D12</f>
        <v>59832.185000000005</v>
      </c>
      <c r="F20" s="411">
        <f>'附表2 投资计划与资金筹措平衡表 '!E12</f>
        <v>65.576325000000011</v>
      </c>
      <c r="G20" s="411">
        <f>'附表2 投资计划与资金筹措平衡表 '!F12</f>
        <v>163.94081250000002</v>
      </c>
      <c r="H20" s="411">
        <f>'附表2 投资计划与资金筹措平衡表 '!G12</f>
        <v>229.51713750000005</v>
      </c>
      <c r="I20" s="411">
        <f>'附表2 投资计划与资金筹措平衡表 '!H12</f>
        <v>295.09346250000004</v>
      </c>
      <c r="J20" s="411">
        <f>'附表2 投资计划与资金筹措平衡表 '!I12</f>
        <v>360.66978750000004</v>
      </c>
      <c r="K20" s="411">
        <f>'附表2 投资计划与资金筹措平衡表 '!J12</f>
        <v>426.24611250000009</v>
      </c>
      <c r="L20" s="411">
        <f>'附表2 投资计划与资金筹措平衡表 '!K12</f>
        <v>491.82243750000009</v>
      </c>
      <c r="M20" s="411">
        <f>'附表2 投资计划与资金筹措平衡表 '!L12</f>
        <v>557.39876250000009</v>
      </c>
      <c r="N20" s="411">
        <f>'附表2 投资计划与资金筹措平衡表 '!M12</f>
        <v>622.9750875000002</v>
      </c>
      <c r="O20" s="411"/>
      <c r="P20" s="411"/>
      <c r="Q20" s="411"/>
      <c r="R20" s="411"/>
      <c r="S20" s="411"/>
      <c r="T20" s="411"/>
      <c r="U20" s="411"/>
      <c r="V20" s="411"/>
      <c r="W20" s="411"/>
      <c r="X20" s="411"/>
    </row>
    <row r="21" spans="2:24" ht="17.25" customHeight="1">
      <c r="B21" s="13" t="s">
        <v>203</v>
      </c>
      <c r="C21" s="26" t="s">
        <v>204</v>
      </c>
      <c r="D21" s="410">
        <f t="shared" si="8"/>
        <v>43717.550000000017</v>
      </c>
      <c r="E21" s="411">
        <f>'附表2 投资计划与资金筹措平衡表 '!D16</f>
        <v>0</v>
      </c>
      <c r="F21" s="411">
        <f>'附表2 投资计划与资金筹措平衡表 '!E16</f>
        <v>8743.510000000002</v>
      </c>
      <c r="G21" s="411">
        <f>'附表2 投资计划与资金筹措平衡表 '!F16</f>
        <v>4371.755000000001</v>
      </c>
      <c r="H21" s="411">
        <f>'附表2 投资计划与资金筹措平衡表 '!G16</f>
        <v>4371.755000000001</v>
      </c>
      <c r="I21" s="411">
        <f>'附表2 投资计划与资金筹措平衡表 '!H16</f>
        <v>4371.755000000001</v>
      </c>
      <c r="J21" s="411">
        <f>'附表2 投资计划与资金筹措平衡表 '!I16</f>
        <v>4371.755000000001</v>
      </c>
      <c r="K21" s="411">
        <f>'附表2 投资计划与资金筹措平衡表 '!J16</f>
        <v>4371.755000000001</v>
      </c>
      <c r="L21" s="411">
        <f>'附表2 投资计划与资金筹措平衡表 '!K16</f>
        <v>4371.755000000001</v>
      </c>
      <c r="M21" s="411">
        <f>'附表2 投资计划与资金筹措平衡表 '!L16</f>
        <v>4371.755000000001</v>
      </c>
      <c r="N21" s="411">
        <f>'附表2 投资计划与资金筹措平衡表 '!M16</f>
        <v>4371.755000000001</v>
      </c>
      <c r="O21" s="411"/>
      <c r="P21" s="411"/>
      <c r="Q21" s="411"/>
      <c r="R21" s="411"/>
      <c r="S21" s="411"/>
      <c r="T21" s="411"/>
      <c r="U21" s="411"/>
      <c r="V21" s="411"/>
      <c r="W21" s="411"/>
      <c r="X21" s="411"/>
    </row>
    <row r="22" spans="2:24" ht="17.25" customHeight="1">
      <c r="B22" s="13" t="s">
        <v>205</v>
      </c>
      <c r="C22" s="26" t="s">
        <v>206</v>
      </c>
      <c r="D22" s="410">
        <f t="shared" si="8"/>
        <v>0</v>
      </c>
      <c r="E22" s="411"/>
      <c r="F22" s="411"/>
      <c r="G22" s="411"/>
      <c r="H22" s="411"/>
      <c r="I22" s="411"/>
      <c r="J22" s="411"/>
      <c r="K22" s="411"/>
      <c r="L22" s="411"/>
      <c r="M22" s="411"/>
      <c r="N22" s="411"/>
      <c r="O22" s="411"/>
      <c r="P22" s="411"/>
      <c r="Q22" s="411"/>
      <c r="R22" s="411"/>
      <c r="S22" s="411"/>
      <c r="T22" s="411"/>
      <c r="U22" s="411"/>
      <c r="V22" s="411"/>
      <c r="W22" s="411"/>
      <c r="X22" s="411"/>
    </row>
    <row r="23" spans="2:24" ht="17.25" customHeight="1">
      <c r="B23" s="13" t="s">
        <v>207</v>
      </c>
      <c r="C23" s="26" t="s">
        <v>453</v>
      </c>
      <c r="D23" s="410">
        <f t="shared" si="8"/>
        <v>0</v>
      </c>
      <c r="E23" s="411">
        <f>'附表2 投资计划与资金筹措平衡表 '!D21</f>
        <v>0</v>
      </c>
      <c r="F23" s="411">
        <f>'附表2 投资计划与资金筹措平衡表 '!E21</f>
        <v>0</v>
      </c>
      <c r="G23" s="411">
        <f>'附表2 投资计划与资金筹措平衡表 '!F21</f>
        <v>0</v>
      </c>
      <c r="H23" s="411">
        <f>'附表2 投资计划与资金筹措平衡表 '!G21</f>
        <v>0</v>
      </c>
      <c r="I23" s="411">
        <f>'附表2 投资计划与资金筹措平衡表 '!H21</f>
        <v>0</v>
      </c>
      <c r="J23" s="411">
        <f>'附表2 投资计划与资金筹措平衡表 '!I21</f>
        <v>0</v>
      </c>
      <c r="K23" s="411">
        <f>'附表2 投资计划与资金筹措平衡表 '!J21</f>
        <v>0</v>
      </c>
      <c r="L23" s="411">
        <f>'附表2 投资计划与资金筹措平衡表 '!K21</f>
        <v>0</v>
      </c>
      <c r="M23" s="411">
        <f>'附表2 投资计划与资金筹措平衡表 '!L21</f>
        <v>0</v>
      </c>
      <c r="N23" s="411">
        <f>'附表2 投资计划与资金筹措平衡表 '!M21</f>
        <v>0</v>
      </c>
      <c r="O23" s="411"/>
      <c r="P23" s="411"/>
      <c r="Q23" s="411"/>
      <c r="R23" s="411"/>
      <c r="S23" s="411"/>
      <c r="T23" s="411"/>
      <c r="U23" s="411"/>
      <c r="V23" s="411"/>
      <c r="W23" s="411"/>
      <c r="X23" s="411"/>
    </row>
    <row r="24" spans="2:24" ht="17.25" customHeight="1">
      <c r="B24" s="25">
        <v>3.2</v>
      </c>
      <c r="C24" s="26" t="s">
        <v>197</v>
      </c>
      <c r="D24" s="410">
        <f t="shared" ca="1" si="8"/>
        <v>107325.85008150738</v>
      </c>
      <c r="E24" s="411">
        <f t="shared" ref="E24:U24" ca="1" si="20">SUM(E25:E29)</f>
        <v>0</v>
      </c>
      <c r="F24" s="411">
        <f t="shared" ref="F24:M24" ca="1" si="21">SUM(F25:F29)</f>
        <v>-100</v>
      </c>
      <c r="G24" s="411">
        <f t="shared" ca="1" si="21"/>
        <v>-100</v>
      </c>
      <c r="H24" s="411">
        <f t="shared" ca="1" si="21"/>
        <v>22460.046542500007</v>
      </c>
      <c r="I24" s="411">
        <f t="shared" ca="1" si="21"/>
        <v>8712.7491469999986</v>
      </c>
      <c r="J24" s="411">
        <f t="shared" ca="1" si="21"/>
        <v>7337.5715251131314</v>
      </c>
      <c r="K24" s="411">
        <f t="shared" ca="1" si="21"/>
        <v>-1857.379949585782</v>
      </c>
      <c r="L24" s="411">
        <f t="shared" ca="1" si="21"/>
        <v>-2032.4608250875899</v>
      </c>
      <c r="M24" s="411">
        <f t="shared" ca="1" si="21"/>
        <v>-2102.493175288314</v>
      </c>
      <c r="N24" s="411">
        <f t="shared" ca="1" si="20"/>
        <v>-2137.5093503886756</v>
      </c>
      <c r="O24" s="411">
        <f t="shared" ca="1" si="20"/>
        <v>5558.0504047211107</v>
      </c>
      <c r="P24" s="411">
        <f t="shared" ca="1" si="20"/>
        <v>5613.1940348451808</v>
      </c>
      <c r="Q24" s="411">
        <f t="shared" ca="1" si="20"/>
        <v>5669.164819421113</v>
      </c>
      <c r="R24" s="411">
        <f t="shared" ca="1" si="20"/>
        <v>5725.9751657656834</v>
      </c>
      <c r="S24" s="411">
        <f t="shared" ca="1" si="20"/>
        <v>5800.0420150209548</v>
      </c>
      <c r="T24" s="411">
        <f t="shared" ca="1" si="20"/>
        <v>5964.57494123987</v>
      </c>
      <c r="U24" s="411">
        <f t="shared" ca="1" si="20"/>
        <v>6030.5808864051787</v>
      </c>
      <c r="V24" s="411">
        <f t="shared" ref="V24:X24" ca="1" si="22">SUM(V25:V29)</f>
        <v>6097.5769207479671</v>
      </c>
      <c r="W24" s="411">
        <f t="shared" ca="1" si="22"/>
        <v>6165.5778956058966</v>
      </c>
      <c r="X24" s="411">
        <f t="shared" ca="1" si="22"/>
        <v>24520.589083471648</v>
      </c>
    </row>
    <row r="25" spans="2:24" ht="17.25" customHeight="1">
      <c r="B25" s="13" t="s">
        <v>14</v>
      </c>
      <c r="C25" s="26" t="s">
        <v>208</v>
      </c>
      <c r="D25" s="410">
        <f t="shared" si="8"/>
        <v>3687.215925237419</v>
      </c>
      <c r="E25" s="411">
        <f>'附表7 银行贷款还本付息表'!E26</f>
        <v>0</v>
      </c>
      <c r="F25" s="411">
        <f>'附表7 银行贷款还本付息表'!F26</f>
        <v>0</v>
      </c>
      <c r="G25" s="411">
        <f>'附表7 银行贷款还本付息表'!G26</f>
        <v>0</v>
      </c>
      <c r="H25" s="411">
        <f>'附表7 银行贷款还本付息表'!H26</f>
        <v>0</v>
      </c>
      <c r="I25" s="411">
        <f>'附表7 银行贷款还本付息表'!I26</f>
        <v>0</v>
      </c>
      <c r="J25" s="411">
        <f>'附表7 银行贷款还本付息表'!J26</f>
        <v>0</v>
      </c>
      <c r="K25" s="411">
        <f>'附表7 银行贷款还本付息表'!K26</f>
        <v>0</v>
      </c>
      <c r="L25" s="411">
        <f>'附表7 银行贷款还本付息表'!L26</f>
        <v>0</v>
      </c>
      <c r="M25" s="411">
        <f>'附表7 银行贷款还本付息表'!M26</f>
        <v>0</v>
      </c>
      <c r="N25" s="411">
        <f>'附表7 银行贷款还本付息表'!N26</f>
        <v>0</v>
      </c>
      <c r="O25" s="411">
        <f>'附表7 银行贷款还本付息表'!O26</f>
        <v>655.7632500000002</v>
      </c>
      <c r="P25" s="411">
        <f>'附表7 银行贷款还本付息表'!P26</f>
        <v>594.49254986214407</v>
      </c>
      <c r="Q25" s="411">
        <f>'附表7 银行贷款还本付息表'!Q26</f>
        <v>532.3027892222201</v>
      </c>
      <c r="R25" s="411">
        <f>'附表7 银行贷款还本付息表'!R26</f>
        <v>469.1801821726973</v>
      </c>
      <c r="S25" s="411">
        <f>'附表7 银行贷款还本付息表'!S26</f>
        <v>405.11073601743158</v>
      </c>
      <c r="T25" s="411">
        <f>'附表7 银行贷款还本付息表'!T26</f>
        <v>340.08024816983692</v>
      </c>
      <c r="U25" s="411">
        <f>'附表7 银行贷款还本付息表'!U26</f>
        <v>274.0743030045283</v>
      </c>
      <c r="V25" s="411">
        <f>'附表7 银行贷款还本付息表'!V26</f>
        <v>207.07826866174008</v>
      </c>
      <c r="W25" s="411">
        <f>'附表7 银行贷款还本付息表'!W26</f>
        <v>139.07729380381002</v>
      </c>
      <c r="X25" s="411">
        <f>'附表7 银行贷款还本付息表'!X26</f>
        <v>70.056304323011005</v>
      </c>
    </row>
    <row r="26" spans="2:24" ht="17.25" customHeight="1">
      <c r="B26" s="13" t="s">
        <v>22</v>
      </c>
      <c r="C26" s="26" t="s">
        <v>209</v>
      </c>
      <c r="D26" s="410">
        <f t="shared" si="8"/>
        <v>43717.550000000025</v>
      </c>
      <c r="E26" s="411">
        <f>'附表7 银行贷款还本付息表'!E24</f>
        <v>0</v>
      </c>
      <c r="F26" s="411">
        <f>'附表7 银行贷款还本付息表'!F24</f>
        <v>0</v>
      </c>
      <c r="G26" s="411">
        <f>'附表7 银行贷款还本付息表'!G24</f>
        <v>0</v>
      </c>
      <c r="H26" s="411">
        <f>'附表7 银行贷款还本付息表'!H24</f>
        <v>0</v>
      </c>
      <c r="I26" s="411">
        <f>'附表7 银行贷款还本付息表'!I24</f>
        <v>0</v>
      </c>
      <c r="J26" s="411">
        <f>'附表7 银行贷款还本付息表'!J24</f>
        <v>0</v>
      </c>
      <c r="K26" s="411">
        <f>'附表7 银行贷款还本付息表'!K24</f>
        <v>0</v>
      </c>
      <c r="L26" s="411">
        <f>'附表7 银行贷款还本付息表'!L24</f>
        <v>0</v>
      </c>
      <c r="M26" s="411">
        <f>'附表7 银行贷款还本付息表'!M24</f>
        <v>0</v>
      </c>
      <c r="N26" s="411">
        <f>'附表7 银行贷款还本付息表'!N24</f>
        <v>0</v>
      </c>
      <c r="O26" s="411">
        <f>'附表7 银行贷款还本付息表'!O24</f>
        <v>4084.7133425237444</v>
      </c>
      <c r="P26" s="411">
        <f>'附表7 银行贷款还本付息表'!P24</f>
        <v>4145.9840426616001</v>
      </c>
      <c r="Q26" s="411">
        <f>'附表7 银行贷款还本付息表'!Q24</f>
        <v>4208.1738033015245</v>
      </c>
      <c r="R26" s="411">
        <f>'附表7 银行贷款还本付息表'!R24</f>
        <v>4271.2964103510467</v>
      </c>
      <c r="S26" s="411">
        <f>'附表7 银行贷款还本付息表'!S24</f>
        <v>4335.3658565063124</v>
      </c>
      <c r="T26" s="411">
        <f>'附表7 银行贷款还本付息表'!T24</f>
        <v>4400.3963443539078</v>
      </c>
      <c r="U26" s="411">
        <f>'附表7 银行贷款还本付息表'!U24</f>
        <v>4466.4022895192156</v>
      </c>
      <c r="V26" s="411">
        <f>'附表7 银行贷款还本付息表'!V24</f>
        <v>4533.398323862004</v>
      </c>
      <c r="W26" s="411">
        <f>'附表7 银行贷款还本付息表'!W24</f>
        <v>4601.3992987199344</v>
      </c>
      <c r="X26" s="411">
        <f>'附表7 银行贷款还本付息表'!X24</f>
        <v>4670.420288200733</v>
      </c>
    </row>
    <row r="27" spans="2:24" ht="17.25" customHeight="1">
      <c r="B27" s="13" t="s">
        <v>210</v>
      </c>
      <c r="C27" s="26" t="s">
        <v>211</v>
      </c>
      <c r="D27" s="410">
        <f t="shared" si="8"/>
        <v>0</v>
      </c>
      <c r="E27" s="411"/>
      <c r="F27" s="411"/>
      <c r="G27" s="411"/>
      <c r="H27" s="411"/>
      <c r="I27" s="411"/>
      <c r="J27" s="411"/>
      <c r="K27" s="411"/>
      <c r="L27" s="411"/>
      <c r="M27" s="411"/>
      <c r="N27" s="411"/>
      <c r="O27" s="411"/>
      <c r="P27" s="411"/>
      <c r="Q27" s="411"/>
      <c r="R27" s="411"/>
      <c r="S27" s="411"/>
      <c r="T27" s="412"/>
      <c r="U27" s="412"/>
      <c r="V27" s="412"/>
      <c r="W27" s="412"/>
      <c r="X27" s="412"/>
    </row>
    <row r="28" spans="2:24" ht="17.25" customHeight="1">
      <c r="B28" s="13" t="s">
        <v>212</v>
      </c>
      <c r="C28" s="26" t="s">
        <v>176</v>
      </c>
      <c r="D28" s="410">
        <f t="shared" ca="1" si="8"/>
        <v>-3624.3407687300605</v>
      </c>
      <c r="E28" s="411">
        <f ca="1">附表9利润表!D17</f>
        <v>0</v>
      </c>
      <c r="F28" s="411">
        <f ca="1">附表9利润表!E17</f>
        <v>-100</v>
      </c>
      <c r="G28" s="411">
        <f ca="1">附表9利润表!F17</f>
        <v>-100</v>
      </c>
      <c r="H28" s="411">
        <f ca="1">附表9利润表!G17</f>
        <v>-2602.565745742766</v>
      </c>
      <c r="I28" s="411">
        <f ca="1">附表9利润表!H17</f>
        <v>-1962.4284748868686</v>
      </c>
      <c r="J28" s="411">
        <f ca="1">附表9利润表!I17</f>
        <v>-1962.4284748868686</v>
      </c>
      <c r="K28" s="411">
        <f ca="1">附表9利润表!J17</f>
        <v>-1857.379949585782</v>
      </c>
      <c r="L28" s="411">
        <f ca="1">附表9利润表!K17</f>
        <v>-2032.4608250875899</v>
      </c>
      <c r="M28" s="411">
        <f ca="1">附表9利润表!L17</f>
        <v>-2102.493175288314</v>
      </c>
      <c r="N28" s="411">
        <f ca="1">附表9利润表!M17</f>
        <v>-2137.5093503886756</v>
      </c>
      <c r="O28" s="411">
        <f ca="1">附表9利润表!N17</f>
        <v>817.57381219736635</v>
      </c>
      <c r="P28" s="411">
        <f ca="1">附表9利润表!O17</f>
        <v>872.71744232143681</v>
      </c>
      <c r="Q28" s="411">
        <f ca="1">附表9利润表!P17</f>
        <v>928.68822689736851</v>
      </c>
      <c r="R28" s="411">
        <f ca="1">附表9利润表!Q17</f>
        <v>985.49857324193886</v>
      </c>
      <c r="S28" s="411">
        <f ca="1">附表9利润表!R17</f>
        <v>1059.5654224972102</v>
      </c>
      <c r="T28" s="411">
        <f ca="1">附表9利润表!S17</f>
        <v>1224.0983487161259</v>
      </c>
      <c r="U28" s="411">
        <f ca="1">附表9利润表!T17</f>
        <v>1290.1042938814344</v>
      </c>
      <c r="V28" s="411">
        <f ca="1">附表9利润表!U17</f>
        <v>1357.1003282242227</v>
      </c>
      <c r="W28" s="411">
        <f ca="1">附表9利润表!V17</f>
        <v>1425.1013030821528</v>
      </c>
      <c r="X28" s="411">
        <f ca="1">附表9利润表!W17</f>
        <v>1272.4774760775472</v>
      </c>
    </row>
    <row r="29" spans="2:24" ht="17.25" customHeight="1">
      <c r="B29" s="13" t="s">
        <v>213</v>
      </c>
      <c r="C29" s="26" t="s">
        <v>214</v>
      </c>
      <c r="D29" s="410">
        <f t="shared" ca="1" si="8"/>
        <v>63545.424924999999</v>
      </c>
      <c r="E29" s="411">
        <f>'附表10 资金来源与运用表'!D22</f>
        <v>0</v>
      </c>
      <c r="F29" s="411">
        <f>'附表10 资金来源与运用表'!E22</f>
        <v>0</v>
      </c>
      <c r="G29" s="411">
        <f ca="1">'附表10 资金来源与运用表'!F22</f>
        <v>0</v>
      </c>
      <c r="H29" s="411">
        <f ca="1">'附表10 资金来源与运用表'!G22</f>
        <v>25062.612288242774</v>
      </c>
      <c r="I29" s="411">
        <f ca="1">'附表10 资金来源与运用表'!H22</f>
        <v>10675.177621886867</v>
      </c>
      <c r="J29" s="411">
        <f>'附表10 资金来源与运用表'!I22</f>
        <v>9300</v>
      </c>
      <c r="K29" s="411">
        <f>'附表10 资金来源与运用表'!J22</f>
        <v>0</v>
      </c>
      <c r="L29" s="411">
        <f>'附表10 资金来源与运用表'!K22</f>
        <v>0</v>
      </c>
      <c r="M29" s="411">
        <f>'附表10 资金来源与运用表'!L22</f>
        <v>0</v>
      </c>
      <c r="N29" s="411">
        <f>'附表10 资金来源与运用表'!M22</f>
        <v>0</v>
      </c>
      <c r="O29" s="411">
        <f>'附表10 资金来源与运用表'!N22</f>
        <v>0</v>
      </c>
      <c r="P29" s="411">
        <f>'附表10 资金来源与运用表'!O22</f>
        <v>0</v>
      </c>
      <c r="Q29" s="411">
        <f>'附表10 资金来源与运用表'!P22</f>
        <v>0</v>
      </c>
      <c r="R29" s="411">
        <f>'附表10 资金来源与运用表'!Q22</f>
        <v>0</v>
      </c>
      <c r="S29" s="411">
        <f>'附表10 资金来源与运用表'!R22</f>
        <v>0</v>
      </c>
      <c r="T29" s="411">
        <f>'附表10 资金来源与运用表'!S22</f>
        <v>0</v>
      </c>
      <c r="U29" s="411">
        <f>'附表10 资金来源与运用表'!T22</f>
        <v>0</v>
      </c>
      <c r="V29" s="411">
        <f>'附表10 资金来源与运用表'!U22</f>
        <v>0</v>
      </c>
      <c r="W29" s="411">
        <f>'附表10 资金来源与运用表'!V22</f>
        <v>0</v>
      </c>
      <c r="X29" s="411">
        <f ca="1">'附表10 资金来源与运用表'!W22</f>
        <v>18507.635014870357</v>
      </c>
    </row>
    <row r="30" spans="2:24" ht="17.25" customHeight="1">
      <c r="B30" s="13">
        <v>4</v>
      </c>
      <c r="C30" s="26" t="s">
        <v>215</v>
      </c>
      <c r="D30" s="410">
        <f t="shared" ca="1" si="8"/>
        <v>-6.3664629124104977E-12</v>
      </c>
      <c r="E30" s="411">
        <f t="shared" ref="E30:U30" ca="1" si="23">E4+E12+E18</f>
        <v>0</v>
      </c>
      <c r="F30" s="411">
        <f t="shared" ref="F30:M30" ca="1" si="24">F4+F12+F18</f>
        <v>0</v>
      </c>
      <c r="G30" s="411">
        <f t="shared" ca="1" si="24"/>
        <v>0</v>
      </c>
      <c r="H30" s="411">
        <f t="shared" ca="1" si="24"/>
        <v>229.51713749999908</v>
      </c>
      <c r="I30" s="411">
        <f t="shared" ca="1" si="24"/>
        <v>65.576325000001816</v>
      </c>
      <c r="J30" s="411">
        <f t="shared" ca="1" si="24"/>
        <v>1440.753946886869</v>
      </c>
      <c r="K30" s="411">
        <f t="shared" ca="1" si="24"/>
        <v>14054.139973585783</v>
      </c>
      <c r="L30" s="411">
        <f t="shared" ca="1" si="24"/>
        <v>8531.8299290875912</v>
      </c>
      <c r="M30" s="411">
        <f t="shared" ca="1" si="24"/>
        <v>6322.9059112883142</v>
      </c>
      <c r="N30" s="411">
        <f t="shared" ca="1" si="23"/>
        <v>5218.4439023886753</v>
      </c>
      <c r="O30" s="411">
        <f t="shared" ca="1" si="23"/>
        <v>-3616.5940367211106</v>
      </c>
      <c r="P30" s="411">
        <f t="shared" ca="1" si="23"/>
        <v>-3671.7376668451807</v>
      </c>
      <c r="Q30" s="411">
        <f t="shared" ca="1" si="23"/>
        <v>-3727.7084514211128</v>
      </c>
      <c r="R30" s="411">
        <f t="shared" ca="1" si="23"/>
        <v>-3784.5187977656833</v>
      </c>
      <c r="S30" s="411">
        <f t="shared" ca="1" si="23"/>
        <v>-3858.5856470209546</v>
      </c>
      <c r="T30" s="411">
        <f t="shared" ca="1" si="23"/>
        <v>-4023.1185732398699</v>
      </c>
      <c r="U30" s="411">
        <f t="shared" ca="1" si="23"/>
        <v>-4089.1245184051786</v>
      </c>
      <c r="V30" s="411">
        <f t="shared" ref="V30:X30" ca="1" si="25">V4+V12+V18</f>
        <v>-4156.1205527479669</v>
      </c>
      <c r="W30" s="411">
        <f t="shared" ca="1" si="25"/>
        <v>-4224.1215276058965</v>
      </c>
      <c r="X30" s="411">
        <f t="shared" ca="1" si="25"/>
        <v>-711.53735396428965</v>
      </c>
    </row>
    <row r="31" spans="2:24" ht="17.25" customHeight="1">
      <c r="B31" s="13">
        <v>5</v>
      </c>
      <c r="C31" s="26" t="s">
        <v>216</v>
      </c>
      <c r="D31" s="410"/>
      <c r="E31" s="411">
        <f ca="1">E30</f>
        <v>0</v>
      </c>
      <c r="F31" s="411">
        <f ca="1">F30+E31</f>
        <v>0</v>
      </c>
      <c r="G31" s="411">
        <f t="shared" ref="G31:H31" ca="1" si="26">G30+F31</f>
        <v>0</v>
      </c>
      <c r="H31" s="411">
        <f t="shared" ca="1" si="26"/>
        <v>229.51713749999908</v>
      </c>
      <c r="I31" s="411">
        <f t="shared" ref="I31" ca="1" si="27">I30+H31</f>
        <v>295.0934625000009</v>
      </c>
      <c r="J31" s="411">
        <f t="shared" ref="J31" ca="1" si="28">J30+I31</f>
        <v>1735.8474093868699</v>
      </c>
      <c r="K31" s="411">
        <f t="shared" ref="K31" ca="1" si="29">K30+J31</f>
        <v>15789.987382972653</v>
      </c>
      <c r="L31" s="411">
        <f t="shared" ref="L31" ca="1" si="30">L30+K31</f>
        <v>24321.817312060244</v>
      </c>
      <c r="M31" s="411">
        <f t="shared" ref="M31" ca="1" si="31">M30+L31</f>
        <v>30644.723223348559</v>
      </c>
      <c r="N31" s="411">
        <f t="shared" ref="N31" ca="1" si="32">N30+M31</f>
        <v>35863.167125737236</v>
      </c>
      <c r="O31" s="411">
        <f t="shared" ref="O31" ca="1" si="33">O30+N31</f>
        <v>32246.573089016125</v>
      </c>
      <c r="P31" s="411">
        <f t="shared" ref="P31" ca="1" si="34">P30+O31</f>
        <v>28574.835422170945</v>
      </c>
      <c r="Q31" s="411">
        <f t="shared" ref="Q31" ca="1" si="35">Q30+P31</f>
        <v>24847.126970749832</v>
      </c>
      <c r="R31" s="411">
        <f t="shared" ref="R31" ca="1" si="36">R30+Q31</f>
        <v>21062.60817298415</v>
      </c>
      <c r="S31" s="411">
        <f t="shared" ref="S31" ca="1" si="37">S30+R31</f>
        <v>17204.022525963195</v>
      </c>
      <c r="T31" s="411">
        <f t="shared" ref="T31" ca="1" si="38">T30+S31</f>
        <v>13180.903952723325</v>
      </c>
      <c r="U31" s="411">
        <f t="shared" ref="U31" ca="1" si="39">U30+T31</f>
        <v>9091.7794343181467</v>
      </c>
      <c r="V31" s="411">
        <f t="shared" ref="V31" ca="1" si="40">V30+U31</f>
        <v>4935.6588815701798</v>
      </c>
      <c r="W31" s="411">
        <f t="shared" ref="W31" ca="1" si="41">W30+V31</f>
        <v>711.53735396428328</v>
      </c>
      <c r="X31" s="411">
        <f t="shared" ref="X31" ca="1" si="42">X30+W31</f>
        <v>-6.3664629124104977E-12</v>
      </c>
    </row>
    <row r="32" spans="2:24" ht="42" customHeight="1">
      <c r="B32" s="26" t="s">
        <v>217</v>
      </c>
      <c r="C32" s="26" t="s">
        <v>218</v>
      </c>
      <c r="D32" s="410"/>
      <c r="E32" s="411">
        <f ca="1">'附表10 资金来源与运用表'!D24</f>
        <v>0</v>
      </c>
      <c r="F32" s="411">
        <f ca="1">'附表10 资金来源与运用表'!E24</f>
        <v>0</v>
      </c>
      <c r="G32" s="411">
        <f ca="1">'附表10 资金来源与运用表'!F24</f>
        <v>0</v>
      </c>
      <c r="H32" s="411">
        <f ca="1">'附表10 资金来源与运用表'!G24</f>
        <v>229.51713749999908</v>
      </c>
      <c r="I32" s="411">
        <f ca="1">'附表10 资金来源与运用表'!H24</f>
        <v>295.09346250000272</v>
      </c>
      <c r="J32" s="411">
        <f ca="1">'附表10 资金来源与运用表'!I24</f>
        <v>1735.8474093868736</v>
      </c>
      <c r="K32" s="411">
        <f ca="1">'附表10 资金来源与运用表'!J24</f>
        <v>15789.987382972658</v>
      </c>
      <c r="L32" s="411">
        <f ca="1">'附表10 资金来源与运用表'!K24</f>
        <v>24321.817312060251</v>
      </c>
      <c r="M32" s="411">
        <f ca="1">'附表10 资金来源与运用表'!L24</f>
        <v>30644.723223348567</v>
      </c>
      <c r="N32" s="411">
        <f ca="1">'附表10 资金来源与运用表'!M24</f>
        <v>35863.167125737244</v>
      </c>
      <c r="O32" s="411">
        <f ca="1">'附表10 资金来源与运用表'!N24</f>
        <v>32246.573089016132</v>
      </c>
      <c r="P32" s="411">
        <f ca="1">'附表10 资金来源与运用表'!O24</f>
        <v>28574.835422170952</v>
      </c>
      <c r="Q32" s="411">
        <f ca="1">'附表10 资金来源与运用表'!P24</f>
        <v>24847.12697074984</v>
      </c>
      <c r="R32" s="411">
        <f ca="1">'附表10 资金来源与运用表'!Q24</f>
        <v>21062.608172984157</v>
      </c>
      <c r="S32" s="411">
        <f ca="1">'附表10 资金来源与运用表'!R24</f>
        <v>17204.022525963202</v>
      </c>
      <c r="T32" s="411">
        <f ca="1">'附表10 资金来源与运用表'!S24</f>
        <v>13180.903952723333</v>
      </c>
      <c r="U32" s="411">
        <f ca="1">'附表10 资金来源与运用表'!T24</f>
        <v>9091.779434318154</v>
      </c>
      <c r="V32" s="411">
        <f ca="1">'附表10 资金来源与运用表'!U24</f>
        <v>4935.6588815701871</v>
      </c>
      <c r="W32" s="411">
        <f ca="1">'附表10 资金来源与运用表'!V24</f>
        <v>711.53735396428965</v>
      </c>
      <c r="X32" s="411">
        <f ca="1">'附表10 资金来源与运用表'!W24</f>
        <v>0</v>
      </c>
    </row>
    <row r="33" spans="2:19" ht="18" customHeight="1">
      <c r="Q33" s="28"/>
      <c r="R33" s="29"/>
    </row>
    <row r="34" spans="2:19" ht="18" hidden="1" customHeight="1">
      <c r="C34" s="27" t="s">
        <v>219</v>
      </c>
      <c r="O34" s="13">
        <f ca="1">O4+O12+O19-O25-O28-附表9利润表!N15-20000</f>
        <v>-19622.722228885963</v>
      </c>
      <c r="P34" s="13">
        <f ca="1">P4+P12+P19-P25-P28</f>
        <v>474.24637581641912</v>
      </c>
      <c r="Q34" s="13">
        <f t="shared" ref="Q34:R34" ca="1" si="43">Q4+Q12+Q19-Q25-Q28</f>
        <v>480.4653518804115</v>
      </c>
      <c r="R34" s="13">
        <f t="shared" ca="1" si="43"/>
        <v>486.77761258536407</v>
      </c>
      <c r="S34" s="239"/>
    </row>
    <row r="35" spans="2:19" ht="18" customHeight="1">
      <c r="B35" s="469" t="s">
        <v>554</v>
      </c>
      <c r="C35" s="470"/>
      <c r="D35"/>
      <c r="E35" s="240"/>
      <c r="F35" s="240"/>
      <c r="G35" s="240"/>
      <c r="H35" s="240"/>
      <c r="I35" s="240"/>
      <c r="J35" s="240"/>
      <c r="K35" s="240"/>
      <c r="L35" s="240"/>
      <c r="M35" s="240"/>
      <c r="N35" s="240"/>
      <c r="O35" s="240"/>
      <c r="P35" s="240"/>
      <c r="Q35" s="240"/>
      <c r="R35" s="240"/>
      <c r="S35" s="240"/>
    </row>
    <row r="36" spans="2:19" ht="18" customHeight="1">
      <c r="Q36" s="28"/>
    </row>
    <row r="37" spans="2:19" ht="18" customHeight="1">
      <c r="E37" s="22">
        <f ca="1">D29*'0基本假设 '!N15</f>
        <v>20158.615791897606</v>
      </c>
    </row>
    <row r="38" spans="2:19" ht="18" customHeight="1"/>
    <row r="39" spans="2:19" ht="18" customHeight="1"/>
    <row r="40" spans="2:19" ht="18" customHeight="1"/>
    <row r="41" spans="2:19" ht="18" customHeight="1"/>
    <row r="42" spans="2:19" ht="18" customHeight="1"/>
    <row r="43" spans="2:19" ht="18" customHeight="1"/>
    <row r="44" spans="2:19" ht="18" customHeight="1"/>
    <row r="45" spans="2:19" ht="18" customHeight="1"/>
    <row r="46" spans="2:19" ht="18" customHeight="1"/>
    <row r="47" spans="2:19" ht="18" customHeight="1"/>
    <row r="48" spans="2:19"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sheetData>
  <mergeCells count="1">
    <mergeCell ref="B2:R2"/>
  </mergeCells>
  <phoneticPr fontId="27" type="noConversion"/>
  <conditionalFormatting sqref="D32">
    <cfRule type="cellIs" dxfId="0" priority="1" operator="equal">
      <formula>"错误"</formula>
    </cfRule>
  </conditionalFormatting>
  <hyperlinks>
    <hyperlink ref="B35" location="目录!A1" display="点击返回目录"/>
  </hyperlinks>
  <pageMargins left="0.70763888888888904" right="0.70763888888888904" top="0.74791666666666701" bottom="0.55000000000000004" header="0.31388888888888899" footer="0.31388888888888899"/>
  <pageSetup paperSize="9" scale="6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1E3EA"/>
  </sheetPr>
  <dimension ref="B1:X22"/>
  <sheetViews>
    <sheetView zoomScale="80" zoomScaleNormal="80" zoomScaleSheetLayoutView="80" workbookViewId="0">
      <pane xSplit="4" ySplit="2" topLeftCell="E3" activePane="bottomRight" state="frozen"/>
      <selection pane="topRight" activeCell="E1" sqref="E1"/>
      <selection pane="bottomLeft" activeCell="A4" sqref="A4"/>
      <selection pane="bottomRight" activeCell="L28" sqref="L28"/>
    </sheetView>
  </sheetViews>
  <sheetFormatPr defaultColWidth="9" defaultRowHeight="14"/>
  <cols>
    <col min="1" max="1" width="2.453125" customWidth="1"/>
    <col min="2" max="2" width="9.08984375" customWidth="1"/>
    <col min="3" max="3" width="20.90625" customWidth="1"/>
    <col min="4" max="4" width="12.453125" customWidth="1"/>
    <col min="5" max="5" width="15.26953125" customWidth="1"/>
    <col min="6" max="24" width="9.6328125" customWidth="1"/>
  </cols>
  <sheetData>
    <row r="1" spans="2:24" ht="39" customHeight="1">
      <c r="B1" s="514" t="s">
        <v>735</v>
      </c>
      <c r="C1" s="515"/>
      <c r="D1" s="515"/>
      <c r="E1" s="515"/>
      <c r="F1" s="515"/>
      <c r="G1" s="515"/>
      <c r="H1" s="515"/>
      <c r="I1" s="515"/>
      <c r="J1" s="515"/>
      <c r="K1" s="515"/>
      <c r="L1" s="515"/>
      <c r="M1" s="515"/>
      <c r="N1" s="515"/>
      <c r="O1" s="515"/>
      <c r="P1" s="515"/>
      <c r="Q1" s="515"/>
      <c r="R1" s="515"/>
      <c r="S1" s="377"/>
    </row>
    <row r="2" spans="2:24" s="513" customFormat="1" ht="17.25" customHeight="1">
      <c r="B2" s="512" t="s">
        <v>574</v>
      </c>
      <c r="C2" s="512" t="s">
        <v>573</v>
      </c>
      <c r="D2" s="512" t="s">
        <v>575</v>
      </c>
      <c r="E2" s="484" t="s">
        <v>477</v>
      </c>
      <c r="F2" s="484" t="s">
        <v>478</v>
      </c>
      <c r="G2" s="484" t="s">
        <v>479</v>
      </c>
      <c r="H2" s="484" t="s">
        <v>480</v>
      </c>
      <c r="I2" s="484" t="s">
        <v>481</v>
      </c>
      <c r="J2" s="484" t="s">
        <v>482</v>
      </c>
      <c r="K2" s="484" t="s">
        <v>483</v>
      </c>
      <c r="L2" s="484" t="s">
        <v>484</v>
      </c>
      <c r="M2" s="484" t="s">
        <v>485</v>
      </c>
      <c r="N2" s="484" t="s">
        <v>486</v>
      </c>
      <c r="O2" s="484" t="s">
        <v>487</v>
      </c>
      <c r="P2" s="484" t="s">
        <v>488</v>
      </c>
      <c r="Q2" s="484" t="s">
        <v>489</v>
      </c>
      <c r="R2" s="484" t="s">
        <v>490</v>
      </c>
      <c r="S2" s="484" t="s">
        <v>491</v>
      </c>
      <c r="T2" s="484" t="s">
        <v>492</v>
      </c>
      <c r="U2" s="484" t="s">
        <v>493</v>
      </c>
      <c r="V2" s="484" t="s">
        <v>494</v>
      </c>
      <c r="W2" s="484" t="s">
        <v>495</v>
      </c>
      <c r="X2" s="484" t="s">
        <v>496</v>
      </c>
    </row>
    <row r="3" spans="2:24">
      <c r="B3" s="14">
        <v>1</v>
      </c>
      <c r="C3" s="15" t="s">
        <v>196</v>
      </c>
      <c r="D3" s="439">
        <f t="shared" ref="D3:D13" si="0">SUM(E3:X3)</f>
        <v>115945.07200000001</v>
      </c>
      <c r="E3" s="439">
        <f>E4+E5+E6+E7</f>
        <v>0</v>
      </c>
      <c r="F3" s="439">
        <f>F4+F5+F6+F7</f>
        <v>0</v>
      </c>
      <c r="G3" s="439">
        <f t="shared" ref="G3:M3" si="1">G4+G5+G6+G7</f>
        <v>0</v>
      </c>
      <c r="H3" s="439">
        <f t="shared" si="1"/>
        <v>23989.014400000007</v>
      </c>
      <c r="I3" s="439">
        <f t="shared" si="1"/>
        <v>9345.6057600000004</v>
      </c>
      <c r="J3" s="439">
        <f t="shared" si="1"/>
        <v>9345.6057600000004</v>
      </c>
      <c r="K3" s="439">
        <f t="shared" si="1"/>
        <v>12943.957920000001</v>
      </c>
      <c r="L3" s="439">
        <f t="shared" si="1"/>
        <v>6946.7043200000007</v>
      </c>
      <c r="M3" s="439">
        <f t="shared" si="1"/>
        <v>4547.8028800000002</v>
      </c>
      <c r="N3" s="439">
        <f>N4+N5+N6+N7</f>
        <v>3348.3521600000004</v>
      </c>
      <c r="O3" s="439">
        <f>O4+O5+O6+O7</f>
        <v>2148.9014400000001</v>
      </c>
      <c r="P3" s="439">
        <f>P4+P5+P6+P7+$P$19</f>
        <v>2148.9014400000001</v>
      </c>
      <c r="Q3" s="439">
        <f t="shared" ref="Q3:T3" si="2">Q4+Q5+Q6+Q7+$P$19</f>
        <v>2148.9014400000001</v>
      </c>
      <c r="R3" s="439">
        <f t="shared" si="2"/>
        <v>2148.9014400000001</v>
      </c>
      <c r="S3" s="439">
        <f t="shared" si="2"/>
        <v>2148.9014400000001</v>
      </c>
      <c r="T3" s="439">
        <f t="shared" si="2"/>
        <v>2148.9014400000001</v>
      </c>
      <c r="U3" s="439">
        <f t="shared" ref="U3:X3" si="3">U4+U5+U6+U7+$P$19</f>
        <v>2148.9014400000001</v>
      </c>
      <c r="V3" s="439">
        <f t="shared" si="3"/>
        <v>2148.9014400000001</v>
      </c>
      <c r="W3" s="439">
        <f t="shared" si="3"/>
        <v>2148.9014400000001</v>
      </c>
      <c r="X3" s="439">
        <f t="shared" si="3"/>
        <v>26137.915840000001</v>
      </c>
    </row>
    <row r="4" spans="2:24">
      <c r="B4" s="16">
        <v>1.1000000000000001</v>
      </c>
      <c r="C4" s="17" t="s">
        <v>534</v>
      </c>
      <c r="D4" s="439">
        <f t="shared" si="0"/>
        <v>115945.07200000001</v>
      </c>
      <c r="E4" s="439">
        <f>附表3营业收入汇总表!D3</f>
        <v>0</v>
      </c>
      <c r="F4" s="439">
        <f>附表3营业收入汇总表!E3</f>
        <v>0</v>
      </c>
      <c r="G4" s="439">
        <f>附表3营业收入汇总表!F3</f>
        <v>0</v>
      </c>
      <c r="H4" s="439">
        <f>附表3营业收入汇总表!G3</f>
        <v>23989.014400000007</v>
      </c>
      <c r="I4" s="439">
        <f>附表3营业收入汇总表!H3</f>
        <v>9345.6057600000004</v>
      </c>
      <c r="J4" s="439">
        <f>附表3营业收入汇总表!I3</f>
        <v>9345.6057600000004</v>
      </c>
      <c r="K4" s="439">
        <f>附表3营业收入汇总表!J3</f>
        <v>12943.957920000001</v>
      </c>
      <c r="L4" s="439">
        <f>附表3营业收入汇总表!K3</f>
        <v>6946.7043200000007</v>
      </c>
      <c r="M4" s="439">
        <f>附表3营业收入汇总表!L3</f>
        <v>4547.8028800000002</v>
      </c>
      <c r="N4" s="439">
        <f>附表3营业收入汇总表!M3</f>
        <v>3348.3521600000004</v>
      </c>
      <c r="O4" s="439">
        <f>附表3营业收入汇总表!N3</f>
        <v>2148.9014400000001</v>
      </c>
      <c r="P4" s="439">
        <f>附表3营业收入汇总表!O3</f>
        <v>2148.9014400000001</v>
      </c>
      <c r="Q4" s="439">
        <f>附表3营业收入汇总表!P3</f>
        <v>2148.9014400000001</v>
      </c>
      <c r="R4" s="439">
        <f>附表3营业收入汇总表!Q3</f>
        <v>2148.9014400000001</v>
      </c>
      <c r="S4" s="439">
        <f>附表3营业收入汇总表!R3</f>
        <v>2148.9014400000001</v>
      </c>
      <c r="T4" s="439">
        <f>附表3营业收入汇总表!S3</f>
        <v>2148.9014400000001</v>
      </c>
      <c r="U4" s="439">
        <f>附表3营业收入汇总表!T3</f>
        <v>2148.9014400000001</v>
      </c>
      <c r="V4" s="439">
        <f>附表3营业收入汇总表!U3</f>
        <v>2148.9014400000001</v>
      </c>
      <c r="W4" s="439">
        <f>附表3营业收入汇总表!V3</f>
        <v>2148.9014400000001</v>
      </c>
      <c r="X4" s="439">
        <f>附表3营业收入汇总表!W3</f>
        <v>26137.915840000001</v>
      </c>
    </row>
    <row r="5" spans="2:24">
      <c r="B5" s="16">
        <v>1.2</v>
      </c>
      <c r="C5" s="666" t="s">
        <v>360</v>
      </c>
      <c r="D5" s="439">
        <f t="shared" si="0"/>
        <v>0</v>
      </c>
      <c r="E5" s="439">
        <f>'附表2 投资计划与资金筹措平衡表 '!D21</f>
        <v>0</v>
      </c>
      <c r="F5" s="439">
        <f>'附表2 投资计划与资金筹措平衡表 '!E21</f>
        <v>0</v>
      </c>
      <c r="G5" s="439">
        <f>'附表2 投资计划与资金筹措平衡表 '!F21</f>
        <v>0</v>
      </c>
      <c r="H5" s="439">
        <f>'附表2 投资计划与资金筹措平衡表 '!G21</f>
        <v>0</v>
      </c>
      <c r="I5" s="439">
        <f>'附表2 投资计划与资金筹措平衡表 '!H21</f>
        <v>0</v>
      </c>
      <c r="J5" s="439">
        <f>'附表2 投资计划与资金筹措平衡表 '!I21</f>
        <v>0</v>
      </c>
      <c r="K5" s="439">
        <f>'附表2 投资计划与资金筹措平衡表 '!J21</f>
        <v>0</v>
      </c>
      <c r="L5" s="439">
        <f>'附表2 投资计划与资金筹措平衡表 '!K21</f>
        <v>0</v>
      </c>
      <c r="M5" s="439">
        <f>'附表2 投资计划与资金筹措平衡表 '!L21</f>
        <v>0</v>
      </c>
      <c r="N5" s="439">
        <f>'附表2 投资计划与资金筹措平衡表 '!M21</f>
        <v>0</v>
      </c>
      <c r="O5" s="439"/>
      <c r="P5" s="439"/>
      <c r="Q5" s="439"/>
      <c r="R5" s="439"/>
      <c r="S5" s="439"/>
      <c r="T5" s="439"/>
      <c r="U5" s="439"/>
      <c r="V5" s="439"/>
      <c r="W5" s="439"/>
      <c r="X5" s="439"/>
    </row>
    <row r="6" spans="2:24">
      <c r="B6" s="16">
        <v>1.3</v>
      </c>
      <c r="C6" s="17" t="s">
        <v>388</v>
      </c>
      <c r="D6" s="439">
        <f t="shared" si="0"/>
        <v>0</v>
      </c>
      <c r="E6" s="439"/>
      <c r="F6" s="439"/>
      <c r="G6" s="439"/>
      <c r="H6" s="439"/>
      <c r="I6" s="439"/>
      <c r="J6" s="439"/>
      <c r="K6" s="439"/>
      <c r="L6" s="439"/>
      <c r="M6" s="439"/>
      <c r="N6" s="439"/>
      <c r="O6" s="439"/>
      <c r="P6" s="439"/>
      <c r="Q6" s="439"/>
      <c r="R6" s="439"/>
      <c r="S6" s="439"/>
      <c r="T6" s="439"/>
      <c r="U6" s="439"/>
      <c r="V6" s="439"/>
      <c r="W6" s="439"/>
      <c r="X6" s="439">
        <f>'附表6 资产折旧摊销表'!X16</f>
        <v>0</v>
      </c>
    </row>
    <row r="7" spans="2:24">
      <c r="B7" s="16">
        <v>1.4</v>
      </c>
      <c r="C7" s="17" t="s">
        <v>181</v>
      </c>
      <c r="D7" s="439">
        <f t="shared" si="0"/>
        <v>0</v>
      </c>
      <c r="E7" s="439"/>
      <c r="F7" s="439"/>
      <c r="G7" s="439"/>
      <c r="H7" s="439"/>
      <c r="I7" s="439"/>
      <c r="J7" s="439"/>
      <c r="K7" s="439"/>
      <c r="L7" s="439"/>
      <c r="M7" s="439"/>
      <c r="N7" s="439"/>
      <c r="O7" s="439"/>
      <c r="P7" s="439"/>
      <c r="Q7" s="439"/>
      <c r="R7" s="439"/>
      <c r="S7" s="439"/>
      <c r="T7" s="439"/>
      <c r="U7" s="439"/>
      <c r="V7" s="439"/>
      <c r="W7" s="439"/>
      <c r="X7" s="439"/>
    </row>
    <row r="8" spans="2:24">
      <c r="B8" s="14">
        <v>2</v>
      </c>
      <c r="C8" s="15" t="s">
        <v>197</v>
      </c>
      <c r="D8" s="439">
        <f t="shared" ca="1" si="0"/>
        <v>112168.95691849265</v>
      </c>
      <c r="E8" s="439">
        <f ca="1">E9+E10+E11+E12</f>
        <v>59832.185000000005</v>
      </c>
      <c r="F8" s="439">
        <f>F9+F10+F11+F12</f>
        <v>8843.510000000002</v>
      </c>
      <c r="G8" s="439">
        <f t="shared" ref="G8:M8" si="4">G9+G10+G11+G12</f>
        <v>4471.755000000001</v>
      </c>
      <c r="H8" s="439">
        <f t="shared" si="4"/>
        <v>5671.2057200000017</v>
      </c>
      <c r="I8" s="439">
        <f t="shared" si="4"/>
        <v>4939.0352880000009</v>
      </c>
      <c r="J8" s="439">
        <f t="shared" si="4"/>
        <v>4939.0352880000009</v>
      </c>
      <c r="K8" s="439">
        <f t="shared" si="4"/>
        <v>5118.9528960000007</v>
      </c>
      <c r="L8" s="439">
        <f t="shared" si="4"/>
        <v>4819.0902160000014</v>
      </c>
      <c r="M8" s="439">
        <f t="shared" si="4"/>
        <v>4699.145144000001</v>
      </c>
      <c r="N8" s="439">
        <f>N9+N10+N11+N12</f>
        <v>4639.1726080000008</v>
      </c>
      <c r="O8" s="439">
        <f>O9+O10+O11+O12</f>
        <v>207.44507200000001</v>
      </c>
      <c r="P8" s="439">
        <f t="shared" ref="P8:U8" si="5">P9+P10+P11+P12</f>
        <v>207.44507200000001</v>
      </c>
      <c r="Q8" s="439">
        <f t="shared" si="5"/>
        <v>207.44507200000001</v>
      </c>
      <c r="R8" s="439">
        <f t="shared" si="5"/>
        <v>207.44507200000001</v>
      </c>
      <c r="S8" s="439">
        <f t="shared" si="5"/>
        <v>207.44507200000001</v>
      </c>
      <c r="T8" s="439">
        <f t="shared" si="5"/>
        <v>207.44507200000001</v>
      </c>
      <c r="U8" s="439">
        <f t="shared" si="5"/>
        <v>207.44507200000001</v>
      </c>
      <c r="V8" s="439">
        <f t="shared" ref="V8:X8" si="6">V9+V10+V11+V12</f>
        <v>207.44507200000001</v>
      </c>
      <c r="W8" s="439">
        <f t="shared" si="6"/>
        <v>207.44507200000001</v>
      </c>
      <c r="X8" s="439">
        <f t="shared" si="6"/>
        <v>2328.8641104926428</v>
      </c>
    </row>
    <row r="9" spans="2:24">
      <c r="B9" s="16">
        <v>2.1</v>
      </c>
      <c r="C9" s="17" t="s">
        <v>45</v>
      </c>
      <c r="D9" s="439">
        <f t="shared" si="0"/>
        <v>103549.73500000004</v>
      </c>
      <c r="E9" s="439">
        <f>SUM('附表2 投资计划与资金筹措平衡表 '!D6:D8)</f>
        <v>59832.185000000005</v>
      </c>
      <c r="F9" s="439">
        <f>SUM('附表2 投资计划与资金筹措平衡表 '!E6:E8)</f>
        <v>8743.510000000002</v>
      </c>
      <c r="G9" s="439">
        <f>SUM('附表2 投资计划与资金筹措平衡表 '!F6:F8)</f>
        <v>4371.755000000001</v>
      </c>
      <c r="H9" s="439">
        <f>SUM('附表2 投资计划与资金筹措平衡表 '!G6:G8)</f>
        <v>4371.755000000001</v>
      </c>
      <c r="I9" s="439">
        <f>SUM('附表2 投资计划与资金筹措平衡表 '!H6:H8)</f>
        <v>4371.755000000001</v>
      </c>
      <c r="J9" s="439">
        <f>SUM('附表2 投资计划与资金筹措平衡表 '!I6:I8)</f>
        <v>4371.755000000001</v>
      </c>
      <c r="K9" s="439">
        <f>SUM('附表2 投资计划与资金筹措平衡表 '!J6:J8)</f>
        <v>4371.755000000001</v>
      </c>
      <c r="L9" s="439">
        <f>SUM('附表2 投资计划与资金筹措平衡表 '!K6:K8)</f>
        <v>4371.755000000001</v>
      </c>
      <c r="M9" s="439">
        <f>SUM('附表2 投资计划与资金筹措平衡表 '!L6:L8)</f>
        <v>4371.755000000001</v>
      </c>
      <c r="N9" s="439">
        <f>SUM('附表2 投资计划与资金筹措平衡表 '!M6:M8)</f>
        <v>4371.755000000001</v>
      </c>
      <c r="O9" s="439"/>
      <c r="P9" s="439"/>
      <c r="Q9" s="439"/>
      <c r="R9" s="439"/>
      <c r="S9" s="439"/>
      <c r="T9" s="383"/>
      <c r="U9" s="383"/>
      <c r="V9" s="383"/>
      <c r="W9" s="383"/>
      <c r="X9" s="383"/>
    </row>
    <row r="10" spans="2:24" ht="24">
      <c r="B10" s="16">
        <v>2.2000000000000002</v>
      </c>
      <c r="C10" s="17" t="s">
        <v>220</v>
      </c>
      <c r="D10" s="439">
        <f t="shared" si="0"/>
        <v>0</v>
      </c>
      <c r="E10" s="439"/>
      <c r="F10" s="439"/>
      <c r="G10" s="439"/>
      <c r="H10" s="439"/>
      <c r="I10" s="439"/>
      <c r="J10" s="439"/>
      <c r="K10" s="439"/>
      <c r="L10" s="439"/>
      <c r="M10" s="439"/>
      <c r="N10" s="439"/>
      <c r="O10" s="439"/>
      <c r="P10" s="439"/>
      <c r="Q10" s="439"/>
      <c r="R10" s="439"/>
      <c r="S10" s="439"/>
      <c r="T10" s="383"/>
      <c r="U10" s="383"/>
      <c r="V10" s="383"/>
      <c r="W10" s="383"/>
      <c r="X10" s="383"/>
    </row>
    <row r="11" spans="2:24">
      <c r="B11" s="16">
        <v>2.2999999999999998</v>
      </c>
      <c r="C11" s="17" t="s">
        <v>126</v>
      </c>
      <c r="D11" s="439">
        <f t="shared" si="0"/>
        <v>7697.2536000000046</v>
      </c>
      <c r="E11" s="439">
        <f>'附表5 运营成本汇总表'!E3</f>
        <v>0</v>
      </c>
      <c r="F11" s="439">
        <f>'附表5 运营成本汇总表'!F3</f>
        <v>100</v>
      </c>
      <c r="G11" s="439">
        <f>'附表5 运营成本汇总表'!G3</f>
        <v>100</v>
      </c>
      <c r="H11" s="439">
        <f>'附表5 运营成本汇总表'!H3</f>
        <v>1299.4507200000005</v>
      </c>
      <c r="I11" s="439">
        <f>'附表5 运营成本汇总表'!I3</f>
        <v>567.28028800000004</v>
      </c>
      <c r="J11" s="439">
        <f>'附表5 运营成本汇总表'!J3</f>
        <v>567.28028800000004</v>
      </c>
      <c r="K11" s="439">
        <f>'附表5 运营成本汇总表'!K3</f>
        <v>747.19789600000013</v>
      </c>
      <c r="L11" s="439">
        <f>'附表5 运营成本汇总表'!L3</f>
        <v>447.33521600000006</v>
      </c>
      <c r="M11" s="439">
        <f>'附表5 运营成本汇总表'!M3</f>
        <v>327.39014400000002</v>
      </c>
      <c r="N11" s="439">
        <f>'附表5 运营成本汇总表'!N3</f>
        <v>267.41760800000003</v>
      </c>
      <c r="O11" s="439">
        <f>'附表5 运营成本汇总表'!O3</f>
        <v>207.44507200000001</v>
      </c>
      <c r="P11" s="439">
        <f>'附表5 运营成本汇总表'!P3</f>
        <v>207.44507200000001</v>
      </c>
      <c r="Q11" s="439">
        <f>'附表5 运营成本汇总表'!Q3</f>
        <v>207.44507200000001</v>
      </c>
      <c r="R11" s="439">
        <f>'附表5 运营成本汇总表'!R3</f>
        <v>207.44507200000001</v>
      </c>
      <c r="S11" s="439">
        <f>'附表5 运营成本汇总表'!S3</f>
        <v>207.44507200000001</v>
      </c>
      <c r="T11" s="439">
        <f>'附表5 运营成本汇总表'!T3</f>
        <v>207.44507200000001</v>
      </c>
      <c r="U11" s="439">
        <f>'附表5 运营成本汇总表'!U3</f>
        <v>207.44507200000001</v>
      </c>
      <c r="V11" s="439">
        <f>'附表5 运营成本汇总表'!V3</f>
        <v>207.44507200000001</v>
      </c>
      <c r="W11" s="439">
        <f>'附表5 运营成本汇总表'!W3</f>
        <v>207.44507200000001</v>
      </c>
      <c r="X11" s="439">
        <f>'附表5 运营成本汇总表'!X3</f>
        <v>1406.8957920000003</v>
      </c>
    </row>
    <row r="12" spans="2:24">
      <c r="B12" s="16">
        <v>2.4</v>
      </c>
      <c r="C12" s="17" t="s">
        <v>364</v>
      </c>
      <c r="D12" s="439">
        <f t="shared" ca="1" si="0"/>
        <v>921.96831849264277</v>
      </c>
      <c r="E12" s="439">
        <f ca="1">'3.1销售情况分析'!G4</f>
        <v>0</v>
      </c>
      <c r="F12" s="439">
        <f>'3.1销售情况分析'!H4</f>
        <v>0</v>
      </c>
      <c r="G12" s="439">
        <f>'3.1销售情况分析'!I4</f>
        <v>0</v>
      </c>
      <c r="H12" s="439">
        <f>'3.1销售情况分析'!J4</f>
        <v>0</v>
      </c>
      <c r="I12" s="439">
        <f>'3.1销售情况分析'!K4</f>
        <v>0</v>
      </c>
      <c r="J12" s="439">
        <f>'3.1销售情况分析'!L4</f>
        <v>0</v>
      </c>
      <c r="K12" s="439">
        <f>'3.1销售情况分析'!M4</f>
        <v>0</v>
      </c>
      <c r="L12" s="439">
        <f>'3.1销售情况分析'!N4</f>
        <v>0</v>
      </c>
      <c r="M12" s="439">
        <f>'3.1销售情况分析'!O4</f>
        <v>0</v>
      </c>
      <c r="N12" s="439">
        <f>'3.1销售情况分析'!P4</f>
        <v>0</v>
      </c>
      <c r="O12" s="439">
        <f>'3.1销售情况分析'!Q4</f>
        <v>0</v>
      </c>
      <c r="P12" s="439">
        <f>'3.1销售情况分析'!R4</f>
        <v>0</v>
      </c>
      <c r="Q12" s="439">
        <f>'3.1销售情况分析'!S4</f>
        <v>0</v>
      </c>
      <c r="R12" s="439">
        <f>'3.1销售情况分析'!T4</f>
        <v>0</v>
      </c>
      <c r="S12" s="439">
        <f>'3.1销售情况分析'!U4</f>
        <v>0</v>
      </c>
      <c r="T12" s="439">
        <f>'3.1销售情况分析'!V4</f>
        <v>0</v>
      </c>
      <c r="U12" s="439">
        <f>'3.1销售情况分析'!W4</f>
        <v>0</v>
      </c>
      <c r="V12" s="439">
        <f>'3.1销售情况分析'!X4</f>
        <v>0</v>
      </c>
      <c r="W12" s="439">
        <f>'3.1销售情况分析'!Y4</f>
        <v>0</v>
      </c>
      <c r="X12" s="439">
        <f>'3.1销售情况分析'!Z4</f>
        <v>921.96831849264277</v>
      </c>
    </row>
    <row r="13" spans="2:24" ht="23.5" customHeight="1">
      <c r="B13" s="14">
        <v>3</v>
      </c>
      <c r="C13" s="15" t="s">
        <v>221</v>
      </c>
      <c r="D13" s="439">
        <f t="shared" ca="1" si="0"/>
        <v>3776.1150815073415</v>
      </c>
      <c r="E13" s="439">
        <f t="shared" ref="E13" ca="1" si="7">E3-E8</f>
        <v>-59832.185000000005</v>
      </c>
      <c r="F13" s="439">
        <f t="shared" ref="F13:U13" si="8">F3-F8</f>
        <v>-8843.510000000002</v>
      </c>
      <c r="G13" s="439">
        <f t="shared" si="8"/>
        <v>-4471.755000000001</v>
      </c>
      <c r="H13" s="439">
        <f t="shared" si="8"/>
        <v>18317.808680000006</v>
      </c>
      <c r="I13" s="439">
        <f t="shared" si="8"/>
        <v>4406.5704719999994</v>
      </c>
      <c r="J13" s="439">
        <f t="shared" si="8"/>
        <v>4406.5704719999994</v>
      </c>
      <c r="K13" s="439">
        <f t="shared" si="8"/>
        <v>7825.005024</v>
      </c>
      <c r="L13" s="439">
        <f t="shared" si="8"/>
        <v>2127.6141039999993</v>
      </c>
      <c r="M13" s="439">
        <f t="shared" si="8"/>
        <v>-151.3422640000008</v>
      </c>
      <c r="N13" s="439">
        <f t="shared" si="8"/>
        <v>-1290.8204480000004</v>
      </c>
      <c r="O13" s="439">
        <f t="shared" si="8"/>
        <v>1941.4563680000001</v>
      </c>
      <c r="P13" s="439">
        <f t="shared" si="8"/>
        <v>1941.4563680000001</v>
      </c>
      <c r="Q13" s="439">
        <f t="shared" si="8"/>
        <v>1941.4563680000001</v>
      </c>
      <c r="R13" s="439">
        <f t="shared" si="8"/>
        <v>1941.4563680000001</v>
      </c>
      <c r="S13" s="439">
        <f t="shared" si="8"/>
        <v>1941.4563680000001</v>
      </c>
      <c r="T13" s="439">
        <f t="shared" si="8"/>
        <v>1941.4563680000001</v>
      </c>
      <c r="U13" s="439">
        <f t="shared" si="8"/>
        <v>1941.4563680000001</v>
      </c>
      <c r="V13" s="439">
        <f t="shared" ref="V13:X13" si="9">V3-V8</f>
        <v>1941.4563680000001</v>
      </c>
      <c r="W13" s="439">
        <f t="shared" si="9"/>
        <v>1941.4563680000001</v>
      </c>
      <c r="X13" s="439">
        <f t="shared" si="9"/>
        <v>23809.051729507359</v>
      </c>
    </row>
    <row r="14" spans="2:24" ht="23.5" customHeight="1">
      <c r="B14" s="14">
        <v>4</v>
      </c>
      <c r="C14" s="15" t="s">
        <v>222</v>
      </c>
      <c r="D14" s="439"/>
      <c r="E14" s="439">
        <f ca="1">E13</f>
        <v>-59832.185000000005</v>
      </c>
      <c r="F14" s="439">
        <f ca="1">E14+F13</f>
        <v>-68675.695000000007</v>
      </c>
      <c r="G14" s="439">
        <f t="shared" ref="G14:H14" ca="1" si="10">F14+G13</f>
        <v>-73147.450000000012</v>
      </c>
      <c r="H14" s="439">
        <f t="shared" ca="1" si="10"/>
        <v>-54829.64132000001</v>
      </c>
      <c r="I14" s="439">
        <f t="shared" ref="I14" ca="1" si="11">H14+I13</f>
        <v>-50423.07084800001</v>
      </c>
      <c r="J14" s="439">
        <f t="shared" ref="J14" ca="1" si="12">I14+J13</f>
        <v>-46016.500376000011</v>
      </c>
      <c r="K14" s="439">
        <f t="shared" ref="K14" ca="1" si="13">J14+K13</f>
        <v>-38191.495352000013</v>
      </c>
      <c r="L14" s="439">
        <f t="shared" ref="L14" ca="1" si="14">K14+L13</f>
        <v>-36063.881248000012</v>
      </c>
      <c r="M14" s="439">
        <f t="shared" ref="M14" ca="1" si="15">L14+M13</f>
        <v>-36215.223512000011</v>
      </c>
      <c r="N14" s="439">
        <f t="shared" ref="N14" ca="1" si="16">M14+N13</f>
        <v>-37506.04396000001</v>
      </c>
      <c r="O14" s="439">
        <f t="shared" ref="O14" ca="1" si="17">N14+O13</f>
        <v>-35564.587592000011</v>
      </c>
      <c r="P14" s="439">
        <f t="shared" ref="P14" ca="1" si="18">O14+P13</f>
        <v>-33623.131224000012</v>
      </c>
      <c r="Q14" s="439">
        <f t="shared" ref="Q14" ca="1" si="19">P14+Q13</f>
        <v>-31681.674856000012</v>
      </c>
      <c r="R14" s="439">
        <f t="shared" ref="R14" ca="1" si="20">Q14+R13</f>
        <v>-29740.218488000013</v>
      </c>
      <c r="S14" s="439">
        <f t="shared" ref="S14" ca="1" si="21">R14+S13</f>
        <v>-27798.762120000014</v>
      </c>
      <c r="T14" s="439">
        <f t="shared" ref="T14" ca="1" si="22">S14+T13</f>
        <v>-25857.305752000015</v>
      </c>
      <c r="U14" s="439">
        <f t="shared" ref="U14" ca="1" si="23">T14+U13</f>
        <v>-23915.849384000016</v>
      </c>
      <c r="V14" s="439">
        <f t="shared" ref="V14" ca="1" si="24">U14+V13</f>
        <v>-21974.393016000016</v>
      </c>
      <c r="W14" s="439">
        <f t="shared" ref="W14" ca="1" si="25">V14+W13</f>
        <v>-20032.936648000017</v>
      </c>
      <c r="X14" s="439">
        <f t="shared" ref="X14" ca="1" si="26">W14+X13</f>
        <v>3776.1150815073415</v>
      </c>
    </row>
    <row r="15" spans="2:24" ht="23.5" customHeight="1">
      <c r="B15" s="3">
        <v>5</v>
      </c>
      <c r="C15" s="4" t="s">
        <v>223</v>
      </c>
      <c r="D15" s="439">
        <f ca="1">SUM(E15:X15)</f>
        <v>140.71878912683917</v>
      </c>
      <c r="E15" s="439">
        <f ca="1">附表9利润表!D40</f>
        <v>0</v>
      </c>
      <c r="F15" s="439">
        <f>附表9利润表!E40</f>
        <v>0</v>
      </c>
      <c r="G15" s="439">
        <f>附表9利润表!F40</f>
        <v>0</v>
      </c>
      <c r="H15" s="439">
        <f>附表9利润表!G40</f>
        <v>0</v>
      </c>
      <c r="I15" s="439">
        <f>附表9利润表!H40</f>
        <v>0</v>
      </c>
      <c r="J15" s="439">
        <f>附表9利润表!I40</f>
        <v>0</v>
      </c>
      <c r="K15" s="439">
        <f>附表9利润表!J40</f>
        <v>0</v>
      </c>
      <c r="L15" s="439">
        <f>附表9利润表!K40</f>
        <v>0</v>
      </c>
      <c r="M15" s="439">
        <f>附表9利润表!L40</f>
        <v>0</v>
      </c>
      <c r="N15" s="439">
        <f>附表9利润表!M40</f>
        <v>0</v>
      </c>
      <c r="O15" s="439">
        <f ca="1">附表9利润表!N40</f>
        <v>0</v>
      </c>
      <c r="P15" s="439">
        <f ca="1">附表9利润表!O40</f>
        <v>0</v>
      </c>
      <c r="Q15" s="439">
        <f ca="1">附表9利润表!P40</f>
        <v>0</v>
      </c>
      <c r="R15" s="439">
        <f ca="1">附表9利润表!Q40</f>
        <v>0</v>
      </c>
      <c r="S15" s="439">
        <f ca="1">附表9利润表!R40</f>
        <v>0</v>
      </c>
      <c r="T15" s="439">
        <f ca="1">附表9利润表!S40</f>
        <v>0</v>
      </c>
      <c r="U15" s="439">
        <f ca="1">附表9利润表!T40</f>
        <v>0</v>
      </c>
      <c r="V15" s="439">
        <f ca="1">附表9利润表!U40</f>
        <v>0</v>
      </c>
      <c r="W15" s="439">
        <f ca="1">附表9利润表!V40</f>
        <v>0</v>
      </c>
      <c r="X15" s="439">
        <f ca="1">附表9利润表!W40</f>
        <v>140.71878912683917</v>
      </c>
    </row>
    <row r="16" spans="2:24" ht="23.5" customHeight="1">
      <c r="B16" s="18">
        <v>6</v>
      </c>
      <c r="C16" s="19" t="s">
        <v>224</v>
      </c>
      <c r="D16" s="439">
        <f ca="1">SUM(E16:X16)</f>
        <v>3635.3962923805011</v>
      </c>
      <c r="E16" s="440">
        <f t="shared" ref="E16" ca="1" si="27">E13-E15</f>
        <v>-59832.185000000005</v>
      </c>
      <c r="F16" s="440">
        <f t="shared" ref="F16:T16" si="28">F13-F15</f>
        <v>-8843.510000000002</v>
      </c>
      <c r="G16" s="440">
        <f t="shared" si="28"/>
        <v>-4471.755000000001</v>
      </c>
      <c r="H16" s="440">
        <f t="shared" si="28"/>
        <v>18317.808680000006</v>
      </c>
      <c r="I16" s="440">
        <f t="shared" si="28"/>
        <v>4406.5704719999994</v>
      </c>
      <c r="J16" s="440">
        <f t="shared" si="28"/>
        <v>4406.5704719999994</v>
      </c>
      <c r="K16" s="440">
        <f t="shared" si="28"/>
        <v>7825.005024</v>
      </c>
      <c r="L16" s="440">
        <f t="shared" si="28"/>
        <v>2127.6141039999993</v>
      </c>
      <c r="M16" s="440">
        <f t="shared" si="28"/>
        <v>-151.3422640000008</v>
      </c>
      <c r="N16" s="440">
        <f t="shared" si="28"/>
        <v>-1290.8204480000004</v>
      </c>
      <c r="O16" s="440">
        <f t="shared" ca="1" si="28"/>
        <v>1941.4563680000001</v>
      </c>
      <c r="P16" s="440">
        <f t="shared" ca="1" si="28"/>
        <v>1941.4563680000001</v>
      </c>
      <c r="Q16" s="440">
        <f t="shared" ca="1" si="28"/>
        <v>1941.4563680000001</v>
      </c>
      <c r="R16" s="440">
        <f t="shared" ca="1" si="28"/>
        <v>1941.4563680000001</v>
      </c>
      <c r="S16" s="440">
        <f t="shared" ca="1" si="28"/>
        <v>1941.4563680000001</v>
      </c>
      <c r="T16" s="440">
        <f t="shared" ca="1" si="28"/>
        <v>1941.4563680000001</v>
      </c>
      <c r="U16" s="440">
        <f t="shared" ref="U16:X16" ca="1" si="29">U13-U15</f>
        <v>1941.4563680000001</v>
      </c>
      <c r="V16" s="440">
        <f t="shared" ca="1" si="29"/>
        <v>1941.4563680000001</v>
      </c>
      <c r="W16" s="440">
        <f t="shared" ca="1" si="29"/>
        <v>1941.4563680000001</v>
      </c>
      <c r="X16" s="440">
        <f t="shared" ca="1" si="29"/>
        <v>23668.332940380518</v>
      </c>
    </row>
    <row r="17" spans="2:24" ht="23.5" customHeight="1">
      <c r="B17" s="14">
        <v>7</v>
      </c>
      <c r="C17" s="15" t="s">
        <v>225</v>
      </c>
      <c r="D17" s="439"/>
      <c r="E17" s="439">
        <f ca="1">E16</f>
        <v>-59832.185000000005</v>
      </c>
      <c r="F17" s="439">
        <f ca="1">E17+F16</f>
        <v>-68675.695000000007</v>
      </c>
      <c r="G17" s="439">
        <f t="shared" ref="G17:H17" ca="1" si="30">F17+G16</f>
        <v>-73147.450000000012</v>
      </c>
      <c r="H17" s="439">
        <f t="shared" ca="1" si="30"/>
        <v>-54829.64132000001</v>
      </c>
      <c r="I17" s="439">
        <f t="shared" ref="I17" ca="1" si="31">H17+I16</f>
        <v>-50423.07084800001</v>
      </c>
      <c r="J17" s="439">
        <f t="shared" ref="J17" ca="1" si="32">I17+J16</f>
        <v>-46016.500376000011</v>
      </c>
      <c r="K17" s="439">
        <f t="shared" ref="K17" ca="1" si="33">J17+K16</f>
        <v>-38191.495352000013</v>
      </c>
      <c r="L17" s="439">
        <f t="shared" ref="L17" ca="1" si="34">K17+L16</f>
        <v>-36063.881248000012</v>
      </c>
      <c r="M17" s="439">
        <f t="shared" ref="M17" ca="1" si="35">L17+M16</f>
        <v>-36215.223512000011</v>
      </c>
      <c r="N17" s="439">
        <f t="shared" ref="N17" ca="1" si="36">M17+N16</f>
        <v>-37506.04396000001</v>
      </c>
      <c r="O17" s="439">
        <f t="shared" ref="O17" ca="1" si="37">N17+O16</f>
        <v>-35564.587592000011</v>
      </c>
      <c r="P17" s="439">
        <f t="shared" ref="P17" ca="1" si="38">O17+P16</f>
        <v>-33623.131224000012</v>
      </c>
      <c r="Q17" s="439">
        <f t="shared" ref="Q17" ca="1" si="39">P17+Q16</f>
        <v>-31681.674856000012</v>
      </c>
      <c r="R17" s="439">
        <f t="shared" ref="R17" ca="1" si="40">Q17+R16</f>
        <v>-29740.218488000013</v>
      </c>
      <c r="S17" s="439">
        <f t="shared" ref="S17" ca="1" si="41">R17+S16</f>
        <v>-27798.762120000014</v>
      </c>
      <c r="T17" s="439">
        <f t="shared" ref="T17" ca="1" si="42">S17+T16</f>
        <v>-25857.305752000015</v>
      </c>
      <c r="U17" s="439">
        <f t="shared" ref="U17" ca="1" si="43">T17+U16</f>
        <v>-23915.849384000016</v>
      </c>
      <c r="V17" s="439">
        <f t="shared" ref="V17" ca="1" si="44">U17+V16</f>
        <v>-21974.393016000016</v>
      </c>
      <c r="W17" s="439">
        <f t="shared" ref="W17" ca="1" si="45">V17+W16</f>
        <v>-20032.936648000017</v>
      </c>
      <c r="X17" s="439">
        <f t="shared" ref="X17" ca="1" si="46">W17+X16</f>
        <v>3635.3962923805011</v>
      </c>
    </row>
    <row r="19" spans="2:24">
      <c r="B19" s="786" t="s">
        <v>226</v>
      </c>
      <c r="C19" s="786"/>
      <c r="D19" s="9">
        <f ca="1">(1+IRR(E13:X13))^4-1</f>
        <v>1.9221046237098305E-2</v>
      </c>
      <c r="E19" s="10" t="s">
        <v>227</v>
      </c>
      <c r="F19" s="11">
        <f ca="1">(COUNTIF(E14:X14,"&lt;0")+ABS(INDEX(E14:X14,1,COUNTIF(E14:X14,"&lt;0")))/(INDEX(E14:X14,1,COUNTIF(E14:X14,"&lt;0")+1)+ABS(INDEX(E14:X14,1,COUNTIF(E14:X14,"&lt;0")))))/4</f>
        <v>4.9603500054894303</v>
      </c>
    </row>
    <row r="20" spans="2:24">
      <c r="B20" s="786" t="s">
        <v>228</v>
      </c>
      <c r="C20" s="786"/>
      <c r="D20" s="9">
        <f ca="1">(1+IRR(E16:X16))^4-1</f>
        <v>1.8534588814617559E-2</v>
      </c>
      <c r="E20" s="10" t="s">
        <v>229</v>
      </c>
      <c r="F20" s="11">
        <f ca="1">(COUNTIF(E17:X17,"&lt;0")+ABS(INDEX(E17:X17,1,COUNTIF(E17:X17,"&lt;0")))/(INDEX(E17:X17,1,COUNTIF(E17:X17,"&lt;0")+1)+ABS(INDEX(E17:X17,1,COUNTIF(E17:X17,"&lt;0")))))/4</f>
        <v>4.9616006300323523</v>
      </c>
      <c r="O20" s="20"/>
      <c r="P20" s="20"/>
      <c r="Q20" s="20"/>
      <c r="R20" s="20"/>
    </row>
    <row r="22" spans="2:24" ht="15">
      <c r="B22" s="469" t="s">
        <v>554</v>
      </c>
      <c r="C22" s="470"/>
    </row>
  </sheetData>
  <mergeCells count="2">
    <mergeCell ref="B19:C19"/>
    <mergeCell ref="B20:C20"/>
  </mergeCells>
  <phoneticPr fontId="27" type="noConversion"/>
  <hyperlinks>
    <hyperlink ref="B22" location="目录!A1" display="点击返回目录"/>
  </hyperlinks>
  <pageMargins left="0.69930555555555596" right="0.69930555555555596" top="0.75" bottom="0.75" header="0.3" footer="0.3"/>
  <pageSetup paperSize="9" scale="28"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38"/>
  <sheetViews>
    <sheetView zoomScale="85" zoomScaleNormal="85" zoomScaleSheetLayoutView="80" workbookViewId="0">
      <pane xSplit="1" topLeftCell="B1" activePane="topRight" state="frozen"/>
      <selection pane="topRight" activeCell="O34" sqref="O34"/>
    </sheetView>
  </sheetViews>
  <sheetFormatPr defaultColWidth="9" defaultRowHeight="14"/>
  <cols>
    <col min="1" max="1" width="2.453125" customWidth="1"/>
    <col min="2" max="2" width="6.08984375" customWidth="1"/>
    <col min="3" max="3" width="17.90625" customWidth="1"/>
    <col min="4" max="4" width="8" customWidth="1"/>
    <col min="5" max="18" width="8.6328125" customWidth="1"/>
  </cols>
  <sheetData>
    <row r="1" spans="2:24" ht="29.15" customHeight="1">
      <c r="B1" s="787" t="s">
        <v>736</v>
      </c>
      <c r="C1" s="788"/>
      <c r="D1" s="788"/>
      <c r="E1" s="788"/>
      <c r="F1" s="788"/>
      <c r="G1" s="788"/>
      <c r="H1" s="788"/>
      <c r="I1" s="788"/>
      <c r="J1" s="788"/>
      <c r="K1" s="788"/>
      <c r="L1" s="788"/>
      <c r="M1" s="788"/>
      <c r="N1" s="788"/>
      <c r="O1" s="788"/>
      <c r="P1" s="788"/>
      <c r="Q1" s="788"/>
      <c r="R1" s="788"/>
      <c r="S1" s="378"/>
    </row>
    <row r="2" spans="2:24" s="513" customFormat="1" ht="17.25" customHeight="1">
      <c r="B2" s="519" t="s">
        <v>574</v>
      </c>
      <c r="C2" s="519" t="s">
        <v>573</v>
      </c>
      <c r="D2" s="519" t="s">
        <v>575</v>
      </c>
      <c r="E2" s="484" t="s">
        <v>477</v>
      </c>
      <c r="F2" s="484" t="s">
        <v>478</v>
      </c>
      <c r="G2" s="484" t="s">
        <v>479</v>
      </c>
      <c r="H2" s="484" t="s">
        <v>480</v>
      </c>
      <c r="I2" s="484" t="s">
        <v>481</v>
      </c>
      <c r="J2" s="484" t="s">
        <v>482</v>
      </c>
      <c r="K2" s="484" t="s">
        <v>483</v>
      </c>
      <c r="L2" s="484" t="s">
        <v>484</v>
      </c>
      <c r="M2" s="484" t="s">
        <v>485</v>
      </c>
      <c r="N2" s="484" t="s">
        <v>486</v>
      </c>
      <c r="O2" s="484" t="s">
        <v>487</v>
      </c>
      <c r="P2" s="484" t="s">
        <v>488</v>
      </c>
      <c r="Q2" s="484" t="s">
        <v>489</v>
      </c>
      <c r="R2" s="484" t="s">
        <v>490</v>
      </c>
      <c r="S2" s="484" t="s">
        <v>491</v>
      </c>
      <c r="T2" s="484" t="s">
        <v>492</v>
      </c>
      <c r="U2" s="484" t="s">
        <v>493</v>
      </c>
      <c r="V2" s="484" t="s">
        <v>494</v>
      </c>
      <c r="W2" s="484" t="s">
        <v>495</v>
      </c>
      <c r="X2" s="484" t="s">
        <v>496</v>
      </c>
    </row>
    <row r="3" spans="2:24">
      <c r="B3" s="3">
        <v>1</v>
      </c>
      <c r="C3" s="4" t="s">
        <v>196</v>
      </c>
      <c r="D3" s="670">
        <f t="shared" ref="D3:D18" si="0">SUM(E3:X3)</f>
        <v>115945.07200000001</v>
      </c>
      <c r="E3" s="670">
        <f>SUM(E4:E7)</f>
        <v>0</v>
      </c>
      <c r="F3" s="670">
        <f t="shared" ref="F3:X3" si="1">SUM(F4:F7)</f>
        <v>0</v>
      </c>
      <c r="G3" s="670">
        <f t="shared" si="1"/>
        <v>0</v>
      </c>
      <c r="H3" s="670">
        <f t="shared" si="1"/>
        <v>23989.014400000007</v>
      </c>
      <c r="I3" s="670">
        <f t="shared" si="1"/>
        <v>9345.6057600000004</v>
      </c>
      <c r="J3" s="670">
        <f t="shared" si="1"/>
        <v>9345.6057600000004</v>
      </c>
      <c r="K3" s="670">
        <f t="shared" si="1"/>
        <v>12943.957920000001</v>
      </c>
      <c r="L3" s="670">
        <f t="shared" si="1"/>
        <v>6946.7043200000007</v>
      </c>
      <c r="M3" s="670">
        <f t="shared" si="1"/>
        <v>4547.8028800000002</v>
      </c>
      <c r="N3" s="670">
        <f t="shared" si="1"/>
        <v>3348.3521600000004</v>
      </c>
      <c r="O3" s="670">
        <f t="shared" si="1"/>
        <v>2148.9014400000001</v>
      </c>
      <c r="P3" s="670">
        <f t="shared" si="1"/>
        <v>2148.9014400000001</v>
      </c>
      <c r="Q3" s="670">
        <f t="shared" si="1"/>
        <v>2148.9014400000001</v>
      </c>
      <c r="R3" s="670">
        <f t="shared" si="1"/>
        <v>2148.9014400000001</v>
      </c>
      <c r="S3" s="670">
        <f t="shared" si="1"/>
        <v>2148.9014400000001</v>
      </c>
      <c r="T3" s="670">
        <f t="shared" si="1"/>
        <v>2148.9014400000001</v>
      </c>
      <c r="U3" s="670">
        <f t="shared" si="1"/>
        <v>2148.9014400000001</v>
      </c>
      <c r="V3" s="670">
        <f t="shared" si="1"/>
        <v>2148.9014400000001</v>
      </c>
      <c r="W3" s="670">
        <f t="shared" si="1"/>
        <v>2148.9014400000001</v>
      </c>
      <c r="X3" s="670">
        <f t="shared" si="1"/>
        <v>26137.915840000001</v>
      </c>
    </row>
    <row r="4" spans="2:24">
      <c r="B4" s="5">
        <v>1.1000000000000001</v>
      </c>
      <c r="C4" s="6" t="s">
        <v>534</v>
      </c>
      <c r="D4" s="670">
        <f t="shared" si="0"/>
        <v>115945.07200000001</v>
      </c>
      <c r="E4" s="670">
        <f>附表3营业收入汇总表!D3</f>
        <v>0</v>
      </c>
      <c r="F4" s="670">
        <f>附表3营业收入汇总表!E3</f>
        <v>0</v>
      </c>
      <c r="G4" s="670">
        <f>附表3营业收入汇总表!F3</f>
        <v>0</v>
      </c>
      <c r="H4" s="670">
        <f>附表3营业收入汇总表!G3</f>
        <v>23989.014400000007</v>
      </c>
      <c r="I4" s="670">
        <f>附表3营业收入汇总表!H3</f>
        <v>9345.6057600000004</v>
      </c>
      <c r="J4" s="670">
        <f>附表3营业收入汇总表!I3</f>
        <v>9345.6057600000004</v>
      </c>
      <c r="K4" s="670">
        <f>附表3营业收入汇总表!J3</f>
        <v>12943.957920000001</v>
      </c>
      <c r="L4" s="670">
        <f>附表3营业收入汇总表!K3</f>
        <v>6946.7043200000007</v>
      </c>
      <c r="M4" s="670">
        <f>附表3营业收入汇总表!L3</f>
        <v>4547.8028800000002</v>
      </c>
      <c r="N4" s="670">
        <f>附表3营业收入汇总表!M3</f>
        <v>3348.3521600000004</v>
      </c>
      <c r="O4" s="670">
        <f>附表3营业收入汇总表!N3</f>
        <v>2148.9014400000001</v>
      </c>
      <c r="P4" s="670">
        <f>附表3营业收入汇总表!O3</f>
        <v>2148.9014400000001</v>
      </c>
      <c r="Q4" s="670">
        <f>附表3营业收入汇总表!P3</f>
        <v>2148.9014400000001</v>
      </c>
      <c r="R4" s="670">
        <f>附表3营业收入汇总表!Q3</f>
        <v>2148.9014400000001</v>
      </c>
      <c r="S4" s="670">
        <f>附表3营业收入汇总表!R3</f>
        <v>2148.9014400000001</v>
      </c>
      <c r="T4" s="670">
        <f>附表3营业收入汇总表!S3</f>
        <v>2148.9014400000001</v>
      </c>
      <c r="U4" s="670">
        <f>附表3营业收入汇总表!T3</f>
        <v>2148.9014400000001</v>
      </c>
      <c r="V4" s="670">
        <f>附表3营业收入汇总表!U3</f>
        <v>2148.9014400000001</v>
      </c>
      <c r="W4" s="670">
        <f>附表3营业收入汇总表!V3</f>
        <v>2148.9014400000001</v>
      </c>
      <c r="X4" s="670">
        <f>附表3营业收入汇总表!W3</f>
        <v>26137.915840000001</v>
      </c>
    </row>
    <row r="5" spans="2:24">
      <c r="B5" s="5">
        <v>1.2</v>
      </c>
      <c r="C5" s="6" t="s">
        <v>327</v>
      </c>
      <c r="D5" s="670">
        <f t="shared" si="0"/>
        <v>0</v>
      </c>
      <c r="E5" s="670">
        <f>'附表12 项目全投资现金流量表'!E5</f>
        <v>0</v>
      </c>
      <c r="F5" s="670">
        <f>'附表12 项目全投资现金流量表'!F5</f>
        <v>0</v>
      </c>
      <c r="G5" s="670">
        <f>'附表12 项目全投资现金流量表'!G5</f>
        <v>0</v>
      </c>
      <c r="H5" s="670">
        <f>'附表12 项目全投资现金流量表'!H5</f>
        <v>0</v>
      </c>
      <c r="I5" s="670">
        <f>'附表12 项目全投资现金流量表'!I5</f>
        <v>0</v>
      </c>
      <c r="J5" s="670">
        <f>'附表12 项目全投资现金流量表'!J5</f>
        <v>0</v>
      </c>
      <c r="K5" s="670">
        <f>'附表12 项目全投资现金流量表'!K5</f>
        <v>0</v>
      </c>
      <c r="L5" s="670">
        <f>'附表12 项目全投资现金流量表'!L5</f>
        <v>0</v>
      </c>
      <c r="M5" s="670">
        <f>'附表12 项目全投资现金流量表'!M5</f>
        <v>0</v>
      </c>
      <c r="N5" s="670">
        <f>'附表12 项目全投资现金流量表'!N5</f>
        <v>0</v>
      </c>
      <c r="O5" s="670">
        <f>'附表12 项目全投资现金流量表'!O5</f>
        <v>0</v>
      </c>
      <c r="P5" s="670">
        <f>'附表12 项目全投资现金流量表'!P5</f>
        <v>0</v>
      </c>
      <c r="Q5" s="670">
        <f>'附表12 项目全投资现金流量表'!Q5</f>
        <v>0</v>
      </c>
      <c r="R5" s="670">
        <f>'附表12 项目全投资现金流量表'!R5</f>
        <v>0</v>
      </c>
      <c r="S5" s="670">
        <f>'附表12 项目全投资现金流量表'!S5</f>
        <v>0</v>
      </c>
      <c r="T5" s="670">
        <f>'附表12 项目全投资现金流量表'!T5</f>
        <v>0</v>
      </c>
      <c r="U5" s="670">
        <f>'附表12 项目全投资现金流量表'!U5</f>
        <v>0</v>
      </c>
      <c r="V5" s="670">
        <f>'附表12 项目全投资现金流量表'!V5</f>
        <v>0</v>
      </c>
      <c r="W5" s="670">
        <f>'附表12 项目全投资现金流量表'!W5</f>
        <v>0</v>
      </c>
      <c r="X5" s="670">
        <f>'附表12 项目全投资现金流量表'!X5</f>
        <v>0</v>
      </c>
    </row>
    <row r="6" spans="2:24">
      <c r="B6" s="5">
        <v>1.3</v>
      </c>
      <c r="C6" s="6" t="s">
        <v>388</v>
      </c>
      <c r="D6" s="670">
        <f t="shared" si="0"/>
        <v>0</v>
      </c>
      <c r="E6" s="670">
        <f>'附表12 项目全投资现金流量表'!E6</f>
        <v>0</v>
      </c>
      <c r="F6" s="670">
        <f>'附表12 项目全投资现金流量表'!F6</f>
        <v>0</v>
      </c>
      <c r="G6" s="670">
        <f>'附表12 项目全投资现金流量表'!G6</f>
        <v>0</v>
      </c>
      <c r="H6" s="670">
        <f>'附表12 项目全投资现金流量表'!H6</f>
        <v>0</v>
      </c>
      <c r="I6" s="670">
        <f>'附表12 项目全投资现金流量表'!I6</f>
        <v>0</v>
      </c>
      <c r="J6" s="670">
        <f>'附表12 项目全投资现金流量表'!J6</f>
        <v>0</v>
      </c>
      <c r="K6" s="670">
        <f>'附表12 项目全投资现金流量表'!K6</f>
        <v>0</v>
      </c>
      <c r="L6" s="670">
        <f>'附表12 项目全投资现金流量表'!L6</f>
        <v>0</v>
      </c>
      <c r="M6" s="670">
        <f>'附表12 项目全投资现金流量表'!M6</f>
        <v>0</v>
      </c>
      <c r="N6" s="670">
        <f>'附表12 项目全投资现金流量表'!N6</f>
        <v>0</v>
      </c>
      <c r="O6" s="670">
        <f>'附表12 项目全投资现金流量表'!O6</f>
        <v>0</v>
      </c>
      <c r="P6" s="670">
        <f>'附表12 项目全投资现金流量表'!P6</f>
        <v>0</v>
      </c>
      <c r="Q6" s="670">
        <f>'附表12 项目全投资现金流量表'!Q6</f>
        <v>0</v>
      </c>
      <c r="R6" s="670">
        <f>'附表12 项目全投资现金流量表'!R6</f>
        <v>0</v>
      </c>
      <c r="S6" s="670">
        <f>'附表12 项目全投资现金流量表'!S6</f>
        <v>0</v>
      </c>
      <c r="T6" s="670">
        <f>'附表12 项目全投资现金流量表'!T6</f>
        <v>0</v>
      </c>
      <c r="U6" s="670">
        <f>'附表12 项目全投资现金流量表'!U6</f>
        <v>0</v>
      </c>
      <c r="V6" s="670">
        <f>'附表12 项目全投资现金流量表'!V6</f>
        <v>0</v>
      </c>
      <c r="W6" s="670">
        <f>'附表12 项目全投资现金流量表'!W6</f>
        <v>0</v>
      </c>
      <c r="X6" s="670">
        <f>'附表12 项目全投资现金流量表'!X6</f>
        <v>0</v>
      </c>
    </row>
    <row r="7" spans="2:24">
      <c r="B7" s="5">
        <v>1.4</v>
      </c>
      <c r="C7" s="6" t="s">
        <v>181</v>
      </c>
      <c r="D7" s="670">
        <f t="shared" si="0"/>
        <v>0</v>
      </c>
      <c r="E7" s="670">
        <f>'附表12 项目全投资现金流量表'!E7</f>
        <v>0</v>
      </c>
      <c r="F7" s="670">
        <f>'附表12 项目全投资现金流量表'!F7</f>
        <v>0</v>
      </c>
      <c r="G7" s="670">
        <f>'附表12 项目全投资现金流量表'!G7</f>
        <v>0</v>
      </c>
      <c r="H7" s="670">
        <f>'附表12 项目全投资现金流量表'!H7</f>
        <v>0</v>
      </c>
      <c r="I7" s="670">
        <f>'附表12 项目全投资现金流量表'!I7</f>
        <v>0</v>
      </c>
      <c r="J7" s="670">
        <f>'附表12 项目全投资现金流量表'!J7</f>
        <v>0</v>
      </c>
      <c r="K7" s="670">
        <f>'附表12 项目全投资现金流量表'!K7</f>
        <v>0</v>
      </c>
      <c r="L7" s="670">
        <f>'附表12 项目全投资现金流量表'!L7</f>
        <v>0</v>
      </c>
      <c r="M7" s="670">
        <f>'附表12 项目全投资现金流量表'!M7</f>
        <v>0</v>
      </c>
      <c r="N7" s="670">
        <f>'附表12 项目全投资现金流量表'!N7</f>
        <v>0</v>
      </c>
      <c r="O7" s="670">
        <f>'附表12 项目全投资现金流量表'!O7</f>
        <v>0</v>
      </c>
      <c r="P7" s="670">
        <f>'附表12 项目全投资现金流量表'!P7</f>
        <v>0</v>
      </c>
      <c r="Q7" s="670">
        <f>'附表12 项目全投资现金流量表'!Q7</f>
        <v>0</v>
      </c>
      <c r="R7" s="670">
        <f>'附表12 项目全投资现金流量表'!R7</f>
        <v>0</v>
      </c>
      <c r="S7" s="670">
        <f>'附表12 项目全投资现金流量表'!S7</f>
        <v>0</v>
      </c>
      <c r="T7" s="670">
        <f>'附表12 项目全投资现金流量表'!T7</f>
        <v>0</v>
      </c>
      <c r="U7" s="670">
        <f>'附表12 项目全投资现金流量表'!U7</f>
        <v>0</v>
      </c>
      <c r="V7" s="670">
        <f>'附表12 项目全投资现金流量表'!V7</f>
        <v>0</v>
      </c>
      <c r="W7" s="670">
        <f>'附表12 项目全投资现金流量表'!W7</f>
        <v>0</v>
      </c>
      <c r="X7" s="670">
        <f>'附表12 项目全投资现金流量表'!X7</f>
        <v>0</v>
      </c>
    </row>
    <row r="8" spans="2:24">
      <c r="B8" s="3">
        <v>2</v>
      </c>
      <c r="C8" s="4" t="s">
        <v>197</v>
      </c>
      <c r="D8" s="670">
        <f t="shared" ca="1" si="0"/>
        <v>119069.41276873014</v>
      </c>
      <c r="E8" s="670">
        <f ca="1">SUM(E9:E16)</f>
        <v>59832.185000000005</v>
      </c>
      <c r="F8" s="670">
        <f>SUM(F9:F16)</f>
        <v>165.576325</v>
      </c>
      <c r="G8" s="670">
        <f t="shared" ref="G8:M8" si="2">SUM(G9:G16)</f>
        <v>263.94081249999999</v>
      </c>
      <c r="H8" s="670">
        <f t="shared" si="2"/>
        <v>1528.9678575000005</v>
      </c>
      <c r="I8" s="670">
        <f t="shared" si="2"/>
        <v>862.37375050000014</v>
      </c>
      <c r="J8" s="670">
        <f t="shared" si="2"/>
        <v>927.95007550000014</v>
      </c>
      <c r="K8" s="670">
        <f t="shared" si="2"/>
        <v>1173.4440085000001</v>
      </c>
      <c r="L8" s="670">
        <f t="shared" si="2"/>
        <v>939.15765350000015</v>
      </c>
      <c r="M8" s="670">
        <f t="shared" si="2"/>
        <v>884.78890650000017</v>
      </c>
      <c r="N8" s="670">
        <f>SUM(N9:N16)</f>
        <v>890.39269550000017</v>
      </c>
      <c r="O8" s="670">
        <f ca="1">SUM(O9:O16)</f>
        <v>4947.9216645237448</v>
      </c>
      <c r="P8" s="670">
        <f t="shared" ref="P8:U8" ca="1" si="3">SUM(P9:P16)</f>
        <v>4947.9216645237448</v>
      </c>
      <c r="Q8" s="670">
        <f t="shared" ca="1" si="3"/>
        <v>4947.9216645237448</v>
      </c>
      <c r="R8" s="670">
        <f t="shared" ca="1" si="3"/>
        <v>4947.9216645237448</v>
      </c>
      <c r="S8" s="670">
        <f t="shared" ca="1" si="3"/>
        <v>4947.9216645237448</v>
      </c>
      <c r="T8" s="670">
        <f t="shared" ca="1" si="3"/>
        <v>4947.9216645237448</v>
      </c>
      <c r="U8" s="670">
        <f t="shared" ca="1" si="3"/>
        <v>4947.9216645237448</v>
      </c>
      <c r="V8" s="670">
        <f t="shared" ref="V8:X8" ca="1" si="4">SUM(V9:V16)</f>
        <v>4947.9216645237448</v>
      </c>
      <c r="W8" s="670">
        <f t="shared" ca="1" si="4"/>
        <v>4947.9216645237448</v>
      </c>
      <c r="X8" s="670">
        <f t="shared" ca="1" si="4"/>
        <v>7069.3407030163871</v>
      </c>
    </row>
    <row r="9" spans="2:24">
      <c r="B9" s="5">
        <v>2.1</v>
      </c>
      <c r="C9" s="6" t="s">
        <v>99</v>
      </c>
      <c r="D9" s="670">
        <f t="shared" si="0"/>
        <v>63045.424925000007</v>
      </c>
      <c r="E9" s="670">
        <f>'附表2 投资计划与资金筹措平衡表 '!D12</f>
        <v>59832.185000000005</v>
      </c>
      <c r="F9" s="670">
        <f>'附表2 投资计划与资金筹措平衡表 '!E12</f>
        <v>65.576325000000011</v>
      </c>
      <c r="G9" s="670">
        <f>'附表2 投资计划与资金筹措平衡表 '!F12</f>
        <v>163.94081250000002</v>
      </c>
      <c r="H9" s="670">
        <f>'附表2 投资计划与资金筹措平衡表 '!G12</f>
        <v>229.51713750000005</v>
      </c>
      <c r="I9" s="670">
        <f>'附表2 投资计划与资金筹措平衡表 '!H12</f>
        <v>295.09346250000004</v>
      </c>
      <c r="J9" s="670">
        <f>'附表2 投资计划与资金筹措平衡表 '!I12</f>
        <v>360.66978750000004</v>
      </c>
      <c r="K9" s="670">
        <f>'附表2 投资计划与资金筹措平衡表 '!J12</f>
        <v>426.24611250000009</v>
      </c>
      <c r="L9" s="670">
        <f>'附表2 投资计划与资金筹措平衡表 '!K12</f>
        <v>491.82243750000009</v>
      </c>
      <c r="M9" s="670">
        <f>'附表2 投资计划与资金筹措平衡表 '!L12</f>
        <v>557.39876250000009</v>
      </c>
      <c r="N9" s="670">
        <f>'附表2 投资计划与资金筹措平衡表 '!M12</f>
        <v>622.9750875000002</v>
      </c>
      <c r="O9" s="670"/>
      <c r="P9" s="670"/>
      <c r="Q9" s="670"/>
      <c r="R9" s="670"/>
      <c r="S9" s="670"/>
      <c r="T9" s="670"/>
      <c r="U9" s="670"/>
      <c r="V9" s="670"/>
      <c r="W9" s="670"/>
      <c r="X9" s="670"/>
    </row>
    <row r="10" spans="2:24">
      <c r="B10" s="5">
        <v>2.2000000000000002</v>
      </c>
      <c r="C10" s="6" t="s">
        <v>454</v>
      </c>
      <c r="D10" s="670">
        <f t="shared" si="0"/>
        <v>0</v>
      </c>
      <c r="E10" s="670">
        <f>E5</f>
        <v>0</v>
      </c>
      <c r="F10" s="670">
        <f t="shared" ref="F10:N10" si="5">F5</f>
        <v>0</v>
      </c>
      <c r="G10" s="670">
        <f t="shared" si="5"/>
        <v>0</v>
      </c>
      <c r="H10" s="670">
        <f t="shared" si="5"/>
        <v>0</v>
      </c>
      <c r="I10" s="670">
        <f t="shared" si="5"/>
        <v>0</v>
      </c>
      <c r="J10" s="670">
        <f t="shared" si="5"/>
        <v>0</v>
      </c>
      <c r="K10" s="670">
        <f t="shared" si="5"/>
        <v>0</v>
      </c>
      <c r="L10" s="670">
        <f t="shared" si="5"/>
        <v>0</v>
      </c>
      <c r="M10" s="670">
        <f t="shared" si="5"/>
        <v>0</v>
      </c>
      <c r="N10" s="670">
        <f t="shared" si="5"/>
        <v>0</v>
      </c>
      <c r="O10" s="670"/>
      <c r="P10" s="670"/>
      <c r="Q10" s="670"/>
      <c r="R10" s="670"/>
      <c r="S10" s="670"/>
      <c r="T10" s="670"/>
      <c r="U10" s="670"/>
      <c r="V10" s="670"/>
      <c r="W10" s="670"/>
      <c r="X10" s="670"/>
    </row>
    <row r="11" spans="2:24">
      <c r="B11" s="5">
        <v>2.2999999999999998</v>
      </c>
      <c r="C11" s="6" t="s">
        <v>230</v>
      </c>
      <c r="D11" s="670">
        <f t="shared" si="0"/>
        <v>43717.550000000025</v>
      </c>
      <c r="E11" s="670">
        <f>'附表7 银行贷款还本付息表'!E24</f>
        <v>0</v>
      </c>
      <c r="F11" s="670">
        <f>'附表7 银行贷款还本付息表'!F24</f>
        <v>0</v>
      </c>
      <c r="G11" s="670">
        <f>'附表7 银行贷款还本付息表'!G24</f>
        <v>0</v>
      </c>
      <c r="H11" s="670">
        <f>'附表7 银行贷款还本付息表'!H24</f>
        <v>0</v>
      </c>
      <c r="I11" s="670">
        <f>'附表7 银行贷款还本付息表'!I24</f>
        <v>0</v>
      </c>
      <c r="J11" s="670">
        <f>'附表7 银行贷款还本付息表'!J24</f>
        <v>0</v>
      </c>
      <c r="K11" s="670">
        <f>'附表7 银行贷款还本付息表'!K24</f>
        <v>0</v>
      </c>
      <c r="L11" s="670">
        <f>'附表7 银行贷款还本付息表'!L24</f>
        <v>0</v>
      </c>
      <c r="M11" s="670">
        <f>'附表7 银行贷款还本付息表'!M24</f>
        <v>0</v>
      </c>
      <c r="N11" s="670">
        <f>'附表7 银行贷款还本付息表'!N24</f>
        <v>0</v>
      </c>
      <c r="O11" s="670">
        <f>'附表7 银行贷款还本付息表'!O24</f>
        <v>4084.7133425237444</v>
      </c>
      <c r="P11" s="670">
        <f>'附表7 银行贷款还本付息表'!P24</f>
        <v>4145.9840426616001</v>
      </c>
      <c r="Q11" s="670">
        <f>'附表7 银行贷款还本付息表'!Q24</f>
        <v>4208.1738033015245</v>
      </c>
      <c r="R11" s="670">
        <f>'附表7 银行贷款还本付息表'!R24</f>
        <v>4271.2964103510467</v>
      </c>
      <c r="S11" s="670">
        <f>'附表7 银行贷款还本付息表'!S24</f>
        <v>4335.3658565063124</v>
      </c>
      <c r="T11" s="670">
        <f>'附表7 银行贷款还本付息表'!T24</f>
        <v>4400.3963443539078</v>
      </c>
      <c r="U11" s="670">
        <f>'附表7 银行贷款还本付息表'!U24</f>
        <v>4466.4022895192156</v>
      </c>
      <c r="V11" s="670">
        <f>'附表7 银行贷款还本付息表'!V24</f>
        <v>4533.398323862004</v>
      </c>
      <c r="W11" s="670">
        <f>'附表7 银行贷款还本付息表'!W24</f>
        <v>4601.3992987199344</v>
      </c>
      <c r="X11" s="670">
        <f>'附表7 银行贷款还本付息表'!X24</f>
        <v>4670.420288200733</v>
      </c>
    </row>
    <row r="12" spans="2:24">
      <c r="B12" s="5">
        <v>2.4</v>
      </c>
      <c r="C12" s="6" t="s">
        <v>231</v>
      </c>
      <c r="D12" s="670">
        <f t="shared" si="0"/>
        <v>3687.215925237419</v>
      </c>
      <c r="E12" s="670">
        <f>'附表7 银行贷款还本付息表'!E26</f>
        <v>0</v>
      </c>
      <c r="F12" s="670">
        <f>'附表7 银行贷款还本付息表'!F26</f>
        <v>0</v>
      </c>
      <c r="G12" s="670">
        <f>'附表7 银行贷款还本付息表'!G26</f>
        <v>0</v>
      </c>
      <c r="H12" s="670">
        <f>'附表7 银行贷款还本付息表'!H26</f>
        <v>0</v>
      </c>
      <c r="I12" s="670">
        <f>'附表7 银行贷款还本付息表'!I26</f>
        <v>0</v>
      </c>
      <c r="J12" s="670">
        <f>'附表7 银行贷款还本付息表'!J26</f>
        <v>0</v>
      </c>
      <c r="K12" s="670">
        <f>'附表7 银行贷款还本付息表'!K26</f>
        <v>0</v>
      </c>
      <c r="L12" s="670">
        <f>'附表7 银行贷款还本付息表'!L26</f>
        <v>0</v>
      </c>
      <c r="M12" s="670">
        <f>'附表7 银行贷款还本付息表'!M26</f>
        <v>0</v>
      </c>
      <c r="N12" s="670">
        <f>'附表7 银行贷款还本付息表'!N26</f>
        <v>0</v>
      </c>
      <c r="O12" s="670">
        <f>'附表7 银行贷款还本付息表'!O26</f>
        <v>655.7632500000002</v>
      </c>
      <c r="P12" s="670">
        <f>'附表7 银行贷款还本付息表'!P26</f>
        <v>594.49254986214407</v>
      </c>
      <c r="Q12" s="670">
        <f>'附表7 银行贷款还本付息表'!Q26</f>
        <v>532.3027892222201</v>
      </c>
      <c r="R12" s="670">
        <f>'附表7 银行贷款还本付息表'!R26</f>
        <v>469.1801821726973</v>
      </c>
      <c r="S12" s="670">
        <f>'附表7 银行贷款还本付息表'!S26</f>
        <v>405.11073601743158</v>
      </c>
      <c r="T12" s="670">
        <f>'附表7 银行贷款还本付息表'!T26</f>
        <v>340.08024816983692</v>
      </c>
      <c r="U12" s="670">
        <f>'附表7 银行贷款还本付息表'!U26</f>
        <v>274.0743030045283</v>
      </c>
      <c r="V12" s="670">
        <f>'附表7 银行贷款还本付息表'!V26</f>
        <v>207.07826866174008</v>
      </c>
      <c r="W12" s="670">
        <f>'附表7 银行贷款还本付息表'!W26</f>
        <v>139.07729380381002</v>
      </c>
      <c r="X12" s="670">
        <f>'附表7 银行贷款还本付息表'!X26</f>
        <v>70.056304323011005</v>
      </c>
    </row>
    <row r="13" spans="2:24">
      <c r="B13" s="5">
        <v>2.5</v>
      </c>
      <c r="C13" s="6" t="s">
        <v>126</v>
      </c>
      <c r="D13" s="670">
        <f t="shared" si="0"/>
        <v>7697.2536000000046</v>
      </c>
      <c r="E13" s="670">
        <f>'附表5 运营成本汇总表'!E3</f>
        <v>0</v>
      </c>
      <c r="F13" s="670">
        <f>'附表5 运营成本汇总表'!F3</f>
        <v>100</v>
      </c>
      <c r="G13" s="670">
        <f>'附表5 运营成本汇总表'!G3</f>
        <v>100</v>
      </c>
      <c r="H13" s="670">
        <f>'附表5 运营成本汇总表'!H3</f>
        <v>1299.4507200000005</v>
      </c>
      <c r="I13" s="670">
        <f>'附表5 运营成本汇总表'!I3</f>
        <v>567.28028800000004</v>
      </c>
      <c r="J13" s="670">
        <f>'附表5 运营成本汇总表'!J3</f>
        <v>567.28028800000004</v>
      </c>
      <c r="K13" s="670">
        <f>'附表5 运营成本汇总表'!K3</f>
        <v>747.19789600000013</v>
      </c>
      <c r="L13" s="670">
        <f>'附表5 运营成本汇总表'!L3</f>
        <v>447.33521600000006</v>
      </c>
      <c r="M13" s="670">
        <f>'附表5 运营成本汇总表'!M3</f>
        <v>327.39014400000002</v>
      </c>
      <c r="N13" s="670">
        <f>'附表5 运营成本汇总表'!N3</f>
        <v>267.41760800000003</v>
      </c>
      <c r="O13" s="670">
        <f>'附表5 运营成本汇总表'!O3</f>
        <v>207.44507200000001</v>
      </c>
      <c r="P13" s="670">
        <f>'附表5 运营成本汇总表'!P3</f>
        <v>207.44507200000001</v>
      </c>
      <c r="Q13" s="670">
        <f>'附表5 运营成本汇总表'!Q3</f>
        <v>207.44507200000001</v>
      </c>
      <c r="R13" s="670">
        <f>'附表5 运营成本汇总表'!R3</f>
        <v>207.44507200000001</v>
      </c>
      <c r="S13" s="670">
        <f>'附表5 运营成本汇总表'!S3</f>
        <v>207.44507200000001</v>
      </c>
      <c r="T13" s="670">
        <f>'附表5 运营成本汇总表'!T3</f>
        <v>207.44507200000001</v>
      </c>
      <c r="U13" s="670">
        <f>'附表5 运营成本汇总表'!U3</f>
        <v>207.44507200000001</v>
      </c>
      <c r="V13" s="670">
        <f>'附表5 运营成本汇总表'!V3</f>
        <v>207.44507200000001</v>
      </c>
      <c r="W13" s="670">
        <f>'附表5 运营成本汇总表'!W3</f>
        <v>207.44507200000001</v>
      </c>
      <c r="X13" s="670">
        <f>'附表5 运营成本汇总表'!X3</f>
        <v>1406.8957920000003</v>
      </c>
    </row>
    <row r="14" spans="2:24">
      <c r="B14" s="5">
        <v>2.6</v>
      </c>
      <c r="C14" s="6" t="s">
        <v>364</v>
      </c>
      <c r="D14" s="670">
        <f t="shared" ca="1" si="0"/>
        <v>921.96831849264277</v>
      </c>
      <c r="E14" s="670">
        <f ca="1">'3.1销售情况分析'!G4</f>
        <v>0</v>
      </c>
      <c r="F14" s="670">
        <f>'3.1销售情况分析'!H4</f>
        <v>0</v>
      </c>
      <c r="G14" s="670">
        <f>'3.1销售情况分析'!I4</f>
        <v>0</v>
      </c>
      <c r="H14" s="670">
        <f>'3.1销售情况分析'!J4</f>
        <v>0</v>
      </c>
      <c r="I14" s="670">
        <f>'3.1销售情况分析'!K4</f>
        <v>0</v>
      </c>
      <c r="J14" s="670">
        <f>'3.1销售情况分析'!L4</f>
        <v>0</v>
      </c>
      <c r="K14" s="670">
        <f>'3.1销售情况分析'!M4</f>
        <v>0</v>
      </c>
      <c r="L14" s="670">
        <f>'3.1销售情况分析'!N4</f>
        <v>0</v>
      </c>
      <c r="M14" s="670">
        <f>'3.1销售情况分析'!O4</f>
        <v>0</v>
      </c>
      <c r="N14" s="670">
        <f>'3.1销售情况分析'!P4</f>
        <v>0</v>
      </c>
      <c r="O14" s="670">
        <f>'3.1销售情况分析'!Q4</f>
        <v>0</v>
      </c>
      <c r="P14" s="670">
        <f>'3.1销售情况分析'!R4</f>
        <v>0</v>
      </c>
      <c r="Q14" s="670">
        <f>'3.1销售情况分析'!S4</f>
        <v>0</v>
      </c>
      <c r="R14" s="670">
        <f>'3.1销售情况分析'!T4</f>
        <v>0</v>
      </c>
      <c r="S14" s="670">
        <f>'3.1销售情况分析'!U4</f>
        <v>0</v>
      </c>
      <c r="T14" s="670">
        <f>'3.1销售情况分析'!V4</f>
        <v>0</v>
      </c>
      <c r="U14" s="670">
        <f>'3.1销售情况分析'!W4</f>
        <v>0</v>
      </c>
      <c r="V14" s="670">
        <f>'3.1销售情况分析'!X4</f>
        <v>0</v>
      </c>
      <c r="W14" s="670">
        <f>'3.1销售情况分析'!Y4</f>
        <v>0</v>
      </c>
      <c r="X14" s="670">
        <f>'3.1销售情况分析'!Z4</f>
        <v>921.96831849264277</v>
      </c>
    </row>
    <row r="15" spans="2:24">
      <c r="B15" s="5">
        <v>2.7</v>
      </c>
      <c r="C15" s="6" t="s">
        <v>187</v>
      </c>
      <c r="D15" s="670">
        <f t="shared" ca="1" si="0"/>
        <v>0</v>
      </c>
      <c r="E15" s="670">
        <f ca="1">附表9利润表!D11</f>
        <v>0</v>
      </c>
      <c r="F15" s="670">
        <f>附表9利润表!E11</f>
        <v>0</v>
      </c>
      <c r="G15" s="670">
        <f>附表9利润表!F11</f>
        <v>0</v>
      </c>
      <c r="H15" s="670">
        <f>附表9利润表!G11</f>
        <v>0</v>
      </c>
      <c r="I15" s="670">
        <f>附表9利润表!H11</f>
        <v>0</v>
      </c>
      <c r="J15" s="670">
        <f>附表9利润表!I11</f>
        <v>0</v>
      </c>
      <c r="K15" s="670">
        <f>附表9利润表!J11</f>
        <v>0</v>
      </c>
      <c r="L15" s="670">
        <f>附表9利润表!K11</f>
        <v>0</v>
      </c>
      <c r="M15" s="670">
        <f>附表9利润表!L11</f>
        <v>0</v>
      </c>
      <c r="N15" s="670">
        <f>附表9利润表!M11</f>
        <v>0</v>
      </c>
      <c r="O15" s="670">
        <f ca="1">附表9利润表!N11</f>
        <v>0</v>
      </c>
      <c r="P15" s="670">
        <f ca="1">附表9利润表!O11</f>
        <v>0</v>
      </c>
      <c r="Q15" s="670">
        <f ca="1">附表9利润表!P11</f>
        <v>0</v>
      </c>
      <c r="R15" s="670">
        <f ca="1">附表9利润表!Q11</f>
        <v>0</v>
      </c>
      <c r="S15" s="670">
        <f ca="1">附表9利润表!R11</f>
        <v>0</v>
      </c>
      <c r="T15" s="670">
        <f ca="1">附表9利润表!S11</f>
        <v>0</v>
      </c>
      <c r="U15" s="670">
        <f ca="1">附表9利润表!T11</f>
        <v>0</v>
      </c>
      <c r="V15" s="670">
        <f ca="1">附表9利润表!U11</f>
        <v>0</v>
      </c>
      <c r="W15" s="670">
        <f ca="1">附表9利润表!V11</f>
        <v>0</v>
      </c>
      <c r="X15" s="670">
        <f ca="1">附表9利润表!W11</f>
        <v>0</v>
      </c>
    </row>
    <row r="16" spans="2:24">
      <c r="B16" s="5">
        <v>2.8</v>
      </c>
      <c r="C16" s="6" t="s">
        <v>232</v>
      </c>
      <c r="D16" s="670">
        <f t="shared" si="0"/>
        <v>0</v>
      </c>
      <c r="E16" s="670"/>
      <c r="F16" s="670"/>
      <c r="G16" s="670"/>
      <c r="H16" s="670"/>
      <c r="I16" s="670"/>
      <c r="J16" s="670"/>
      <c r="K16" s="670"/>
      <c r="L16" s="670"/>
      <c r="M16" s="670"/>
      <c r="N16" s="670"/>
      <c r="O16" s="670"/>
      <c r="P16" s="670"/>
      <c r="Q16" s="670"/>
      <c r="R16" s="670"/>
      <c r="S16" s="670"/>
      <c r="T16" s="670"/>
      <c r="U16" s="670"/>
      <c r="V16" s="670"/>
      <c r="W16" s="670"/>
      <c r="X16" s="670"/>
    </row>
    <row r="17" spans="2:24">
      <c r="B17" s="3">
        <v>3</v>
      </c>
      <c r="C17" s="4" t="s">
        <v>233</v>
      </c>
      <c r="D17" s="670">
        <f t="shared" ca="1" si="0"/>
        <v>-3124.340768730086</v>
      </c>
      <c r="E17" s="670">
        <f t="shared" ref="E17:W17" ca="1" si="6">E3-E8</f>
        <v>-59832.185000000005</v>
      </c>
      <c r="F17" s="670">
        <f t="shared" ref="F17:M17" si="7">F3-F8</f>
        <v>-165.576325</v>
      </c>
      <c r="G17" s="670">
        <f t="shared" si="7"/>
        <v>-263.94081249999999</v>
      </c>
      <c r="H17" s="670">
        <f t="shared" si="7"/>
        <v>22460.046542500007</v>
      </c>
      <c r="I17" s="670">
        <f t="shared" si="7"/>
        <v>8483.2320094999995</v>
      </c>
      <c r="J17" s="670">
        <f t="shared" si="7"/>
        <v>8417.6556844999996</v>
      </c>
      <c r="K17" s="670">
        <f t="shared" si="7"/>
        <v>11770.5139115</v>
      </c>
      <c r="L17" s="670">
        <f t="shared" si="7"/>
        <v>6007.5466665000004</v>
      </c>
      <c r="M17" s="670">
        <f t="shared" si="7"/>
        <v>3663.0139735000002</v>
      </c>
      <c r="N17" s="670">
        <f t="shared" ref="N17" si="8">N3-N8</f>
        <v>2457.9594645000002</v>
      </c>
      <c r="O17" s="670">
        <f t="shared" ca="1" si="6"/>
        <v>-2799.0202245237447</v>
      </c>
      <c r="P17" s="670">
        <f t="shared" ca="1" si="6"/>
        <v>-2799.0202245237447</v>
      </c>
      <c r="Q17" s="670">
        <f t="shared" ca="1" si="6"/>
        <v>-2799.0202245237447</v>
      </c>
      <c r="R17" s="670">
        <f t="shared" ca="1" si="6"/>
        <v>-2799.0202245237447</v>
      </c>
      <c r="S17" s="670">
        <f t="shared" ca="1" si="6"/>
        <v>-2799.0202245237447</v>
      </c>
      <c r="T17" s="670">
        <f t="shared" ca="1" si="6"/>
        <v>-2799.0202245237447</v>
      </c>
      <c r="U17" s="670">
        <f t="shared" ca="1" si="6"/>
        <v>-2799.0202245237447</v>
      </c>
      <c r="V17" s="670">
        <f t="shared" ca="1" si="6"/>
        <v>-2799.0202245237447</v>
      </c>
      <c r="W17" s="670">
        <f t="shared" ca="1" si="6"/>
        <v>-2799.0202245237447</v>
      </c>
      <c r="X17" s="670">
        <f t="shared" ref="X17" ca="1" si="9">X3-X8</f>
        <v>19068.575136983614</v>
      </c>
    </row>
    <row r="18" spans="2:24">
      <c r="B18" s="3">
        <v>4</v>
      </c>
      <c r="C18" s="4" t="s">
        <v>234</v>
      </c>
      <c r="D18" s="670">
        <f t="shared" ca="1" si="0"/>
        <v>-3124.340768730086</v>
      </c>
      <c r="E18" s="670">
        <f ca="1">E17+E15</f>
        <v>-59832.185000000005</v>
      </c>
      <c r="F18" s="670">
        <f>F17+F15</f>
        <v>-165.576325</v>
      </c>
      <c r="G18" s="670">
        <f t="shared" ref="G18:M18" si="10">G17+G15</f>
        <v>-263.94081249999999</v>
      </c>
      <c r="H18" s="670">
        <f t="shared" si="10"/>
        <v>22460.046542500007</v>
      </c>
      <c r="I18" s="670">
        <f t="shared" si="10"/>
        <v>8483.2320094999995</v>
      </c>
      <c r="J18" s="670">
        <f t="shared" si="10"/>
        <v>8417.6556844999996</v>
      </c>
      <c r="K18" s="670">
        <f t="shared" si="10"/>
        <v>11770.5139115</v>
      </c>
      <c r="L18" s="670">
        <f t="shared" si="10"/>
        <v>6007.5466665000004</v>
      </c>
      <c r="M18" s="670">
        <f t="shared" si="10"/>
        <v>3663.0139735000002</v>
      </c>
      <c r="N18" s="670">
        <f>N17+N15</f>
        <v>2457.9594645000002</v>
      </c>
      <c r="O18" s="670">
        <f ca="1">O17+O15</f>
        <v>-2799.0202245237447</v>
      </c>
      <c r="P18" s="670">
        <f t="shared" ref="P18:W18" ca="1" si="11">P17+P15</f>
        <v>-2799.0202245237447</v>
      </c>
      <c r="Q18" s="670">
        <f t="shared" ca="1" si="11"/>
        <v>-2799.0202245237447</v>
      </c>
      <c r="R18" s="670">
        <f t="shared" ca="1" si="11"/>
        <v>-2799.0202245237447</v>
      </c>
      <c r="S18" s="670">
        <f t="shared" ca="1" si="11"/>
        <v>-2799.0202245237447</v>
      </c>
      <c r="T18" s="670">
        <f t="shared" ca="1" si="11"/>
        <v>-2799.0202245237447</v>
      </c>
      <c r="U18" s="670">
        <f t="shared" ca="1" si="11"/>
        <v>-2799.0202245237447</v>
      </c>
      <c r="V18" s="670">
        <f t="shared" ca="1" si="11"/>
        <v>-2799.0202245237447</v>
      </c>
      <c r="W18" s="670">
        <f t="shared" ca="1" si="11"/>
        <v>-2799.0202245237447</v>
      </c>
      <c r="X18" s="670">
        <f t="shared" ref="X18" ca="1" si="12">X17+X15</f>
        <v>19068.575136983614</v>
      </c>
    </row>
    <row r="19" spans="2:24">
      <c r="B19" s="3">
        <v>5</v>
      </c>
      <c r="C19" s="4" t="s">
        <v>235</v>
      </c>
      <c r="D19" s="670"/>
      <c r="E19" s="670">
        <f ca="1">E17</f>
        <v>-59832.185000000005</v>
      </c>
      <c r="F19" s="670">
        <f t="shared" ref="F19" ca="1" si="13">E19+F17</f>
        <v>-59997.761325000007</v>
      </c>
      <c r="G19" s="670">
        <f t="shared" ref="G19:G20" ca="1" si="14">F19+G17</f>
        <v>-60261.702137500004</v>
      </c>
      <c r="H19" s="670">
        <f t="shared" ref="H19:H20" ca="1" si="15">G19+H17</f>
        <v>-37801.655594999997</v>
      </c>
      <c r="I19" s="670">
        <f t="shared" ref="I19:I20" ca="1" si="16">H19+I17</f>
        <v>-29318.423585499997</v>
      </c>
      <c r="J19" s="670">
        <f t="shared" ref="J19:J20" ca="1" si="17">I19+J17</f>
        <v>-20900.767900999999</v>
      </c>
      <c r="K19" s="670">
        <f t="shared" ref="K19:K20" ca="1" si="18">J19+K17</f>
        <v>-9130.2539894999991</v>
      </c>
      <c r="L19" s="670">
        <f t="shared" ref="L19:L20" ca="1" si="19">K19+L17</f>
        <v>-3122.7073229999987</v>
      </c>
      <c r="M19" s="670">
        <f t="shared" ref="M19:M20" ca="1" si="20">L19+M17</f>
        <v>540.30665050000152</v>
      </c>
      <c r="N19" s="670">
        <f t="shared" ref="N19:N20" ca="1" si="21">M19+N17</f>
        <v>2998.2661150000017</v>
      </c>
      <c r="O19" s="670">
        <f t="shared" ref="O19:O20" ca="1" si="22">N19+O17</f>
        <v>199.24589047625705</v>
      </c>
      <c r="P19" s="670">
        <f t="shared" ref="P19:P20" ca="1" si="23">O19+P17</f>
        <v>-2599.7743340474876</v>
      </c>
      <c r="Q19" s="670">
        <f t="shared" ref="Q19:Q20" ca="1" si="24">P19+Q17</f>
        <v>-5398.7945585712323</v>
      </c>
      <c r="R19" s="670">
        <f t="shared" ref="R19:R20" ca="1" si="25">Q19+R17</f>
        <v>-8197.8147830949765</v>
      </c>
      <c r="S19" s="670">
        <f t="shared" ref="S19:S20" ca="1" si="26">R19+S17</f>
        <v>-10996.835007618722</v>
      </c>
      <c r="T19" s="670">
        <f t="shared" ref="T19:T20" ca="1" si="27">S19+T17</f>
        <v>-13795.855232142467</v>
      </c>
      <c r="U19" s="670">
        <f t="shared" ref="U19:U20" ca="1" si="28">T19+U17</f>
        <v>-16594.87545666621</v>
      </c>
      <c r="V19" s="670">
        <f t="shared" ref="V19:V20" ca="1" si="29">U19+V17</f>
        <v>-19393.895681189955</v>
      </c>
      <c r="W19" s="670">
        <f t="shared" ref="W19:W20" ca="1" si="30">V19+W17</f>
        <v>-22192.9159057137</v>
      </c>
      <c r="X19" s="670">
        <f t="shared" ref="X19:X20" ca="1" si="31">W19+X17</f>
        <v>-3124.340768730086</v>
      </c>
    </row>
    <row r="20" spans="2:24">
      <c r="B20" s="3">
        <v>6</v>
      </c>
      <c r="C20" s="4" t="s">
        <v>236</v>
      </c>
      <c r="D20" s="670"/>
      <c r="E20" s="670">
        <f ca="1">E18</f>
        <v>-59832.185000000005</v>
      </c>
      <c r="F20" s="670">
        <f ca="1">E20+F18</f>
        <v>-59997.761325000007</v>
      </c>
      <c r="G20" s="670">
        <f t="shared" ca="1" si="14"/>
        <v>-60261.702137500004</v>
      </c>
      <c r="H20" s="670">
        <f t="shared" ca="1" si="15"/>
        <v>-37801.655594999997</v>
      </c>
      <c r="I20" s="670">
        <f t="shared" ca="1" si="16"/>
        <v>-29318.423585499997</v>
      </c>
      <c r="J20" s="670">
        <f t="shared" ca="1" si="17"/>
        <v>-20900.767900999999</v>
      </c>
      <c r="K20" s="670">
        <f t="shared" ca="1" si="18"/>
        <v>-9130.2539894999991</v>
      </c>
      <c r="L20" s="670">
        <f t="shared" ca="1" si="19"/>
        <v>-3122.7073229999987</v>
      </c>
      <c r="M20" s="670">
        <f t="shared" ca="1" si="20"/>
        <v>540.30665050000152</v>
      </c>
      <c r="N20" s="670">
        <f t="shared" ca="1" si="21"/>
        <v>2998.2661150000017</v>
      </c>
      <c r="O20" s="670">
        <f t="shared" ca="1" si="22"/>
        <v>199.24589047625705</v>
      </c>
      <c r="P20" s="670">
        <f t="shared" ca="1" si="23"/>
        <v>-2599.7743340474876</v>
      </c>
      <c r="Q20" s="670">
        <f t="shared" ca="1" si="24"/>
        <v>-5398.7945585712323</v>
      </c>
      <c r="R20" s="670">
        <f t="shared" ca="1" si="25"/>
        <v>-8197.8147830949765</v>
      </c>
      <c r="S20" s="670">
        <f t="shared" ca="1" si="26"/>
        <v>-10996.835007618722</v>
      </c>
      <c r="T20" s="670">
        <f t="shared" ca="1" si="27"/>
        <v>-13795.855232142467</v>
      </c>
      <c r="U20" s="670">
        <f t="shared" ca="1" si="28"/>
        <v>-16594.87545666621</v>
      </c>
      <c r="V20" s="670">
        <f t="shared" ca="1" si="29"/>
        <v>-19393.895681189955</v>
      </c>
      <c r="W20" s="670">
        <f t="shared" ca="1" si="30"/>
        <v>-22192.9159057137</v>
      </c>
      <c r="X20" s="670">
        <f t="shared" ca="1" si="31"/>
        <v>-3124.340768730086</v>
      </c>
    </row>
    <row r="21" spans="2:24">
      <c r="C21" s="7"/>
      <c r="E21" s="8"/>
    </row>
    <row r="22" spans="2:24" ht="36">
      <c r="B22" s="789" t="s">
        <v>237</v>
      </c>
      <c r="C22" s="789"/>
      <c r="D22" s="9">
        <f ca="1">(1+IRR(E18:X18))^4-1</f>
        <v>-3.6756885569224074E-2</v>
      </c>
      <c r="E22" s="456" t="s">
        <v>227</v>
      </c>
      <c r="F22" s="561">
        <f ca="1">(COUNTIF(E20:X20,"&lt;0")+ABS(INDEX(E20:X20,1,COUNTIF(E20:X20,"&lt;0")))/(INDEX(E20:X20,1,COUNTIF(E20:X20,"&lt;0")+1)+ABS(INDEX(E20:X20,1,COUNTIF(E20:X20,"&lt;0")))))/4</f>
        <v>2.7677960388362468</v>
      </c>
    </row>
    <row r="23" spans="2:24" ht="36">
      <c r="B23" s="789" t="s">
        <v>238</v>
      </c>
      <c r="C23" s="789"/>
      <c r="D23" s="9">
        <f ca="1">(1+IRR(E17:X17))^4-1</f>
        <v>-3.6756885569224074E-2</v>
      </c>
      <c r="E23" s="456" t="s">
        <v>229</v>
      </c>
      <c r="F23" s="561">
        <f ca="1">(COUNTIF(E19:X19,"&lt;0")+ABS(INDEX(E19:X19,1,COUNTIF(E19:X19,"&lt;0")))/(INDEX(E19:X19,1,COUNTIF(E19:X19,"&lt;0")+1)+ABS(INDEX(E19:X19,1,COUNTIF(E19:X19,"&lt;0")))))/4</f>
        <v>2.7677960388362468</v>
      </c>
    </row>
    <row r="25" spans="2:24">
      <c r="D25" s="12"/>
    </row>
    <row r="26" spans="2:24" s="674" customFormat="1" ht="12">
      <c r="C26" s="517" t="s">
        <v>738</v>
      </c>
      <c r="D26" s="675">
        <f>SUM(E26:X26)</f>
        <v>48.273183944650029</v>
      </c>
      <c r="E26" s="675">
        <v>-68</v>
      </c>
      <c r="F26" s="675">
        <v>-3.9345000000000012E-2</v>
      </c>
      <c r="G26" s="675">
        <v>-9.8362500000000019E-2</v>
      </c>
      <c r="H26" s="675">
        <v>-0.13770750000000004</v>
      </c>
      <c r="I26" s="675">
        <v>2.361361888168747</v>
      </c>
      <c r="J26" s="675">
        <v>0.79745647690902088</v>
      </c>
      <c r="K26" s="675">
        <v>0.75811147690902081</v>
      </c>
      <c r="L26" s="675">
        <v>0.71876647690902074</v>
      </c>
      <c r="M26" s="675">
        <v>0.11803851831668011</v>
      </c>
      <c r="N26" s="675">
        <v>7.8693518316680144E-2</v>
      </c>
      <c r="O26" s="675">
        <v>5.0228401931206488</v>
      </c>
      <c r="P26" s="675">
        <v>2.6676118601883285</v>
      </c>
      <c r="Q26" s="675">
        <v>4.4589007320827863</v>
      </c>
      <c r="R26" s="675">
        <v>3.2115266806385558</v>
      </c>
      <c r="S26" s="675">
        <v>1.3243871977103017</v>
      </c>
      <c r="T26" s="675">
        <v>1.3674392854740749</v>
      </c>
      <c r="U26" s="675">
        <v>2.3091075463793338</v>
      </c>
      <c r="V26" s="675">
        <v>1.4551646411814749</v>
      </c>
      <c r="W26" s="675">
        <v>8.3962773967477435</v>
      </c>
      <c r="X26" s="675">
        <v>81.502915055597597</v>
      </c>
    </row>
    <row r="27" spans="2:24" s="674" customFormat="1" ht="24">
      <c r="C27" s="518" t="s">
        <v>535</v>
      </c>
      <c r="D27" s="675">
        <f ca="1">SUM(E27:X27)</f>
        <v>-2499.4726149840699</v>
      </c>
      <c r="E27" s="676">
        <f t="shared" ref="E27:X27" ca="1" si="32">E17*0.8</f>
        <v>-47865.748000000007</v>
      </c>
      <c r="F27" s="676">
        <f t="shared" si="32"/>
        <v>-132.46106</v>
      </c>
      <c r="G27" s="676">
        <f t="shared" si="32"/>
        <v>-211.15264999999999</v>
      </c>
      <c r="H27" s="676">
        <f t="shared" si="32"/>
        <v>17968.037234000007</v>
      </c>
      <c r="I27" s="676">
        <f t="shared" si="32"/>
        <v>6786.5856076</v>
      </c>
      <c r="J27" s="676">
        <f t="shared" si="32"/>
        <v>6734.1245476000004</v>
      </c>
      <c r="K27" s="676">
        <f t="shared" si="32"/>
        <v>9416.4111291999998</v>
      </c>
      <c r="L27" s="676">
        <f t="shared" si="32"/>
        <v>4806.0373332000008</v>
      </c>
      <c r="M27" s="676">
        <f t="shared" si="32"/>
        <v>2930.4111788000005</v>
      </c>
      <c r="N27" s="676">
        <f t="shared" si="32"/>
        <v>1966.3675716000002</v>
      </c>
      <c r="O27" s="676">
        <f t="shared" ca="1" si="32"/>
        <v>-2239.2161796189957</v>
      </c>
      <c r="P27" s="676">
        <f t="shared" ca="1" si="32"/>
        <v>-2239.2161796189957</v>
      </c>
      <c r="Q27" s="676">
        <f t="shared" ca="1" si="32"/>
        <v>-2239.2161796189957</v>
      </c>
      <c r="R27" s="676">
        <f t="shared" ca="1" si="32"/>
        <v>-2239.2161796189957</v>
      </c>
      <c r="S27" s="676">
        <f t="shared" ca="1" si="32"/>
        <v>-2239.2161796189957</v>
      </c>
      <c r="T27" s="676">
        <f t="shared" ca="1" si="32"/>
        <v>-2239.2161796189957</v>
      </c>
      <c r="U27" s="676">
        <f t="shared" ca="1" si="32"/>
        <v>-2239.2161796189957</v>
      </c>
      <c r="V27" s="676">
        <f t="shared" ca="1" si="32"/>
        <v>-2239.2161796189957</v>
      </c>
      <c r="W27" s="676">
        <f t="shared" ca="1" si="32"/>
        <v>-2239.2161796189957</v>
      </c>
      <c r="X27" s="676">
        <f t="shared" ca="1" si="32"/>
        <v>15254.860109586893</v>
      </c>
    </row>
    <row r="28" spans="2:24" ht="15">
      <c r="B28" s="469" t="s">
        <v>554</v>
      </c>
      <c r="C28" s="470"/>
    </row>
    <row r="29" spans="2:24" ht="15">
      <c r="B29" s="475"/>
      <c r="C29" s="475"/>
      <c r="G29" s="516"/>
    </row>
    <row r="30" spans="2:24" ht="17.5">
      <c r="B30" s="467"/>
      <c r="C30" s="468"/>
    </row>
    <row r="36" spans="11:15">
      <c r="K36" s="677"/>
      <c r="L36" s="677"/>
    </row>
    <row r="38" spans="11:15">
      <c r="O38" s="677"/>
    </row>
  </sheetData>
  <mergeCells count="3">
    <mergeCell ref="B1:R1"/>
    <mergeCell ref="B22:C22"/>
    <mergeCell ref="B23:C23"/>
  </mergeCells>
  <phoneticPr fontId="27" type="noConversion"/>
  <hyperlinks>
    <hyperlink ref="B28" location="目录!A1" display="点击返回目录"/>
  </hyperlinks>
  <pageMargins left="0.69930555555555596" right="0.69930555555555596" top="0.75" bottom="0.75" header="0.3" footer="0.3"/>
  <pageSetup paperSize="9" scale="24"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1E3EA"/>
  </sheetPr>
  <dimension ref="B1:X38"/>
  <sheetViews>
    <sheetView zoomScale="84" zoomScaleNormal="84" zoomScaleSheetLayoutView="70" workbookViewId="0">
      <selection activeCell="H6" sqref="H6"/>
    </sheetView>
  </sheetViews>
  <sheetFormatPr defaultColWidth="8.90625" defaultRowHeight="14.5"/>
  <cols>
    <col min="1" max="1" width="2.453125" style="52" customWidth="1"/>
    <col min="2" max="2" width="5.90625" style="257" customWidth="1"/>
    <col min="3" max="3" width="24.453125" style="257" customWidth="1"/>
    <col min="4" max="4" width="11" style="52" customWidth="1"/>
    <col min="5" max="5" width="10.90625" style="52" customWidth="1"/>
    <col min="6" max="19" width="9.6328125" style="52" customWidth="1"/>
    <col min="20" max="23" width="10.08984375" style="52" bestFit="1" customWidth="1"/>
    <col min="24" max="24" width="10.90625" style="52" bestFit="1" customWidth="1"/>
    <col min="25" max="16384" width="8.90625" style="52"/>
  </cols>
  <sheetData>
    <row r="1" spans="2:24" ht="13.4" customHeight="1"/>
    <row r="2" spans="2:24" ht="30" customHeight="1">
      <c r="B2" s="790" t="s">
        <v>737</v>
      </c>
      <c r="C2" s="791"/>
      <c r="D2" s="791"/>
      <c r="E2" s="791"/>
      <c r="F2" s="791"/>
      <c r="G2" s="791"/>
      <c r="H2" s="791"/>
      <c r="I2" s="791"/>
      <c r="J2" s="791"/>
      <c r="K2" s="791"/>
      <c r="L2" s="791"/>
      <c r="M2" s="791"/>
      <c r="N2" s="791"/>
      <c r="O2" s="791"/>
      <c r="P2" s="791"/>
      <c r="Q2" s="791"/>
      <c r="R2" s="791"/>
      <c r="S2" s="791"/>
      <c r="T2" s="791"/>
      <c r="U2" s="791"/>
      <c r="V2" s="791"/>
      <c r="W2" s="791"/>
      <c r="X2" s="791"/>
    </row>
    <row r="3" spans="2:24" s="353" customFormat="1" ht="18" customHeight="1">
      <c r="B3" s="520" t="s">
        <v>574</v>
      </c>
      <c r="C3" s="520" t="s">
        <v>573</v>
      </c>
      <c r="D3" s="521" t="s">
        <v>575</v>
      </c>
      <c r="E3" s="484" t="s">
        <v>477</v>
      </c>
      <c r="F3" s="484" t="s">
        <v>478</v>
      </c>
      <c r="G3" s="484" t="s">
        <v>479</v>
      </c>
      <c r="H3" s="484" t="s">
        <v>480</v>
      </c>
      <c r="I3" s="484" t="s">
        <v>481</v>
      </c>
      <c r="J3" s="484" t="s">
        <v>482</v>
      </c>
      <c r="K3" s="484" t="s">
        <v>483</v>
      </c>
      <c r="L3" s="484" t="s">
        <v>484</v>
      </c>
      <c r="M3" s="484" t="s">
        <v>485</v>
      </c>
      <c r="N3" s="484" t="s">
        <v>486</v>
      </c>
      <c r="O3" s="484" t="s">
        <v>487</v>
      </c>
      <c r="P3" s="484" t="s">
        <v>488</v>
      </c>
      <c r="Q3" s="484" t="s">
        <v>489</v>
      </c>
      <c r="R3" s="484" t="s">
        <v>490</v>
      </c>
      <c r="S3" s="484" t="s">
        <v>491</v>
      </c>
      <c r="T3" s="484" t="s">
        <v>492</v>
      </c>
      <c r="U3" s="484" t="s">
        <v>493</v>
      </c>
      <c r="V3" s="484" t="s">
        <v>494</v>
      </c>
      <c r="W3" s="484" t="s">
        <v>495</v>
      </c>
      <c r="X3" s="484" t="s">
        <v>496</v>
      </c>
    </row>
    <row r="4" spans="2:24" s="261" customFormat="1" ht="18" customHeight="1">
      <c r="B4" s="259">
        <v>1</v>
      </c>
      <c r="C4" s="260" t="s">
        <v>196</v>
      </c>
      <c r="D4" s="436">
        <f t="shared" ref="D4:D15" ca="1" si="0">SUM(E4:X4)</f>
        <v>27834.252483051947</v>
      </c>
      <c r="E4" s="436">
        <f ca="1">SUM(E5:E7)</f>
        <v>750</v>
      </c>
      <c r="F4" s="436">
        <f ca="1">SUM(F5:F7)</f>
        <v>1037.1760613207548</v>
      </c>
      <c r="G4" s="436">
        <f t="shared" ref="G4:M4" ca="1" si="1">SUM(G5:G7)</f>
        <v>893.55265330188683</v>
      </c>
      <c r="H4" s="436">
        <f t="shared" ca="1" si="1"/>
        <v>8546.0553864123558</v>
      </c>
      <c r="I4" s="436">
        <f t="shared" ca="1" si="1"/>
        <v>3854.912819043368</v>
      </c>
      <c r="J4" s="436">
        <f t="shared" ca="1" si="1"/>
        <v>3308.0285292038807</v>
      </c>
      <c r="K4" s="436">
        <f t="shared" ca="1" si="1"/>
        <v>357.77479990839197</v>
      </c>
      <c r="L4" s="436">
        <f t="shared" ca="1" si="1"/>
        <v>357.77479990839197</v>
      </c>
      <c r="M4" s="436">
        <f t="shared" ca="1" si="1"/>
        <v>357.77479990839197</v>
      </c>
      <c r="N4" s="436">
        <f t="shared" ref="N4:S4" ca="1" si="2">SUM(N5:N7)</f>
        <v>357.77479990839197</v>
      </c>
      <c r="O4" s="436">
        <f t="shared" ca="1" si="2"/>
        <v>214.22214660650519</v>
      </c>
      <c r="P4" s="436">
        <f t="shared" ca="1" si="2"/>
        <v>214.22214660650519</v>
      </c>
      <c r="Q4" s="436">
        <f t="shared" ca="1" si="2"/>
        <v>214.22214660650519</v>
      </c>
      <c r="R4" s="436">
        <f t="shared" ca="1" si="2"/>
        <v>214.22214660650519</v>
      </c>
      <c r="S4" s="436">
        <f t="shared" ca="1" si="2"/>
        <v>214.22214660650519</v>
      </c>
      <c r="T4" s="436">
        <f t="shared" ref="T4:X4" ca="1" si="3">SUM(T5:T7)</f>
        <v>214.22214660650519</v>
      </c>
      <c r="U4" s="436">
        <f t="shared" ca="1" si="3"/>
        <v>214.22214660650519</v>
      </c>
      <c r="V4" s="436">
        <f t="shared" ca="1" si="3"/>
        <v>214.22214660650519</v>
      </c>
      <c r="W4" s="436">
        <f t="shared" ca="1" si="3"/>
        <v>214.22214660650519</v>
      </c>
      <c r="X4" s="436">
        <f t="shared" ca="1" si="3"/>
        <v>6085.4285146775837</v>
      </c>
    </row>
    <row r="5" spans="2:24" s="261" customFormat="1" ht="18" customHeight="1">
      <c r="B5" s="262">
        <v>1.1000000000000001</v>
      </c>
      <c r="C5" s="54" t="s">
        <v>744</v>
      </c>
      <c r="D5" s="438">
        <f t="shared" ca="1" si="0"/>
        <v>6240.0394034184856</v>
      </c>
      <c r="E5" s="437">
        <f ca="1">'附表10 资金来源与运用表'!D31*'0基本假设 '!$N$15*'0基本假设 '!$L$36</f>
        <v>750</v>
      </c>
      <c r="F5" s="437">
        <f ca="1">'附表10 资金来源与运用表'!E31*'0基本假设 '!$N$15*'0基本假设 '!$L$36</f>
        <v>750</v>
      </c>
      <c r="G5" s="437">
        <f ca="1">'附表10 资金来源与运用表'!F31*'0基本假设 '!$N$15*'0基本假设 '!$L$36</f>
        <v>750</v>
      </c>
      <c r="H5" s="437">
        <f ca="1">'附表10 资金来源与运用表'!G31*'0基本假设 '!$N$15*'0基本假设 '!$L$36</f>
        <v>451.85054286582584</v>
      </c>
      <c r="I5" s="437">
        <f ca="1">'附表10 资金来源与运用表'!H31*'0基本假设 '!$N$15*'0基本假设 '!$L$36</f>
        <v>324.85666145508605</v>
      </c>
      <c r="J5" s="437">
        <f ca="1">'附表10 资金来源与运用表'!I31*'0基本假设 '!$N$15*'0基本假设 '!$L$36</f>
        <v>214.22214660650519</v>
      </c>
      <c r="K5" s="437">
        <f ca="1">'附表10 资金来源与运用表'!J31*'0基本假设 '!$N$15*'0基本假设 '!$L$36</f>
        <v>214.22214660650519</v>
      </c>
      <c r="L5" s="437">
        <f ca="1">'附表10 资金来源与运用表'!K31*'0基本假设 '!$N$15*'0基本假设 '!$L$36</f>
        <v>214.22214660650519</v>
      </c>
      <c r="M5" s="437">
        <f ca="1">'附表10 资金来源与运用表'!L31*'0基本假设 '!$N$15*'0基本假设 '!$L$36</f>
        <v>214.22214660650519</v>
      </c>
      <c r="N5" s="437">
        <f ca="1">'附表10 资金来源与运用表'!M31*'0基本假设 '!$N$15*'0基本假设 '!$L$36</f>
        <v>214.22214660650519</v>
      </c>
      <c r="O5" s="437">
        <f ca="1">'附表10 资金来源与运用表'!N31*'0基本假设 '!$N$15*'0基本假设 '!$L$36</f>
        <v>214.22214660650519</v>
      </c>
      <c r="P5" s="437">
        <f ca="1">'附表10 资金来源与运用表'!O31*'0基本假设 '!$N$15*'0基本假设 '!$L$36</f>
        <v>214.22214660650519</v>
      </c>
      <c r="Q5" s="437">
        <f ca="1">'附表10 资金来源与运用表'!P31*'0基本假设 '!$N$15*'0基本假设 '!$L$36</f>
        <v>214.22214660650519</v>
      </c>
      <c r="R5" s="437">
        <f ca="1">'附表10 资金来源与运用表'!Q31*'0基本假设 '!$N$15*'0基本假设 '!$L$36</f>
        <v>214.22214660650519</v>
      </c>
      <c r="S5" s="437">
        <f ca="1">'附表10 资金来源与运用表'!R31*'0基本假设 '!$N$15*'0基本假设 '!$L$36</f>
        <v>214.22214660650519</v>
      </c>
      <c r="T5" s="437">
        <f ca="1">'附表10 资金来源与运用表'!S31*'0基本假设 '!$N$15*'0基本假设 '!$L$36</f>
        <v>214.22214660650519</v>
      </c>
      <c r="U5" s="437">
        <f ca="1">'附表10 资金来源与运用表'!T31*'0基本假设 '!$N$15*'0基本假设 '!$L$36</f>
        <v>214.22214660650519</v>
      </c>
      <c r="V5" s="437">
        <f ca="1">'附表10 资金来源与运用表'!U31*'0基本假设 '!$N$15*'0基本假设 '!$L$36</f>
        <v>214.22214660650519</v>
      </c>
      <c r="W5" s="437">
        <f ca="1">'附表10 资金来源与运用表'!V31*'0基本假设 '!$N$15*'0基本假设 '!$L$36</f>
        <v>214.22214660650519</v>
      </c>
      <c r="X5" s="437">
        <f ca="1">W5</f>
        <v>214.22214660650519</v>
      </c>
    </row>
    <row r="6" spans="2:24" s="261" customFormat="1" ht="18" customHeight="1">
      <c r="B6" s="262">
        <v>1.2</v>
      </c>
      <c r="C6" s="54" t="s">
        <v>214</v>
      </c>
      <c r="D6" s="438">
        <f t="shared" ca="1" si="0"/>
        <v>20158.615791897606</v>
      </c>
      <c r="E6" s="437">
        <f>'附表11 财务计划现金流量表'!E29*'0基本假设 '!$N$15</f>
        <v>0</v>
      </c>
      <c r="F6" s="437">
        <f>'附表11 财务计划现金流量表'!F29*'0基本假设 '!$N$15</f>
        <v>0</v>
      </c>
      <c r="G6" s="437">
        <f ca="1">'附表11 财务计划现金流量表'!G29*'0基本假设 '!$N$15</f>
        <v>0</v>
      </c>
      <c r="H6" s="437">
        <f ca="1">'附表11 财务计划现金流量表'!H29*'0基本假设 '!$N$15</f>
        <v>7950.652190244643</v>
      </c>
      <c r="I6" s="437">
        <f ca="1">'附表11 财务计划现金流量表'!I29*'0基本假设 '!$N$15</f>
        <v>3386.5035042863951</v>
      </c>
      <c r="J6" s="437">
        <f>'附表11 财务计划现金流量表'!J29*'0基本假设 '!$N$15</f>
        <v>2950.2537292954885</v>
      </c>
      <c r="K6" s="437">
        <f>'附表11 财务计划现金流量表'!K29*'0基本假设 '!$N$15</f>
        <v>0</v>
      </c>
      <c r="L6" s="437">
        <f>'附表11 财务计划现金流量表'!L29*'0基本假设 '!$N$15</f>
        <v>0</v>
      </c>
      <c r="M6" s="437">
        <f>'附表11 财务计划现金流量表'!M29*'0基本假设 '!$N$15</f>
        <v>0</v>
      </c>
      <c r="N6" s="437">
        <f>'附表11 财务计划现金流量表'!N29*'0基本假设 '!$N$15</f>
        <v>0</v>
      </c>
      <c r="O6" s="437">
        <f>'附表11 财务计划现金流量表'!O29*'0基本假设 '!$N$15</f>
        <v>0</v>
      </c>
      <c r="P6" s="437">
        <f>'附表11 财务计划现金流量表'!P29*'0基本假设 '!$N$15</f>
        <v>0</v>
      </c>
      <c r="Q6" s="437">
        <f>'附表11 财务计划现金流量表'!Q29*'0基本假设 '!$N$15</f>
        <v>0</v>
      </c>
      <c r="R6" s="437">
        <f>'附表11 财务计划现金流量表'!R29*'0基本假设 '!$N$15</f>
        <v>0</v>
      </c>
      <c r="S6" s="437">
        <f>'附表11 财务计划现金流量表'!S29*'0基本假设 '!$N$15</f>
        <v>0</v>
      </c>
      <c r="T6" s="437">
        <f>'附表11 财务计划现金流量表'!T29*'0基本假设 '!$N$15</f>
        <v>0</v>
      </c>
      <c r="U6" s="437">
        <f>'附表11 财务计划现金流量表'!U29*'0基本假设 '!$N$15</f>
        <v>0</v>
      </c>
      <c r="V6" s="437">
        <f>'附表11 财务计划现金流量表'!V29*'0基本假设 '!$N$15</f>
        <v>0</v>
      </c>
      <c r="W6" s="437">
        <f>'附表11 财务计划现金流量表'!W29*'0基本假设 '!$N$15</f>
        <v>0</v>
      </c>
      <c r="X6" s="437">
        <f ca="1">'附表11 财务计划现金流量表'!X29*'0基本假设 '!$N$15</f>
        <v>5871.2063680710789</v>
      </c>
    </row>
    <row r="7" spans="2:24" s="261" customFormat="1" ht="30" customHeight="1">
      <c r="B7" s="262">
        <v>1.3</v>
      </c>
      <c r="C7" s="263" t="s">
        <v>321</v>
      </c>
      <c r="D7" s="438">
        <f t="shared" si="0"/>
        <v>1435.597287735849</v>
      </c>
      <c r="E7" s="437">
        <f>E8-E9-E10-E11</f>
        <v>0</v>
      </c>
      <c r="F7" s="437">
        <f t="shared" ref="F7:N7" si="4">F8-F9-F10-F11</f>
        <v>287.17606132075474</v>
      </c>
      <c r="G7" s="437">
        <f t="shared" si="4"/>
        <v>143.55265330188681</v>
      </c>
      <c r="H7" s="437">
        <f t="shared" si="4"/>
        <v>143.55265330188681</v>
      </c>
      <c r="I7" s="437">
        <f t="shared" si="4"/>
        <v>143.55265330188681</v>
      </c>
      <c r="J7" s="437">
        <f t="shared" si="4"/>
        <v>143.55265330188681</v>
      </c>
      <c r="K7" s="437">
        <f t="shared" si="4"/>
        <v>143.55265330188681</v>
      </c>
      <c r="L7" s="437">
        <f t="shared" si="4"/>
        <v>143.55265330188681</v>
      </c>
      <c r="M7" s="437">
        <f t="shared" si="4"/>
        <v>143.55265330188681</v>
      </c>
      <c r="N7" s="437">
        <f t="shared" si="4"/>
        <v>143.55265330188681</v>
      </c>
      <c r="O7" s="437"/>
      <c r="P7" s="437"/>
      <c r="Q7" s="437"/>
      <c r="R7" s="437"/>
      <c r="S7" s="437"/>
      <c r="T7" s="437"/>
      <c r="U7" s="437"/>
      <c r="V7" s="437"/>
      <c r="W7" s="437"/>
      <c r="X7" s="437"/>
    </row>
    <row r="8" spans="2:24" s="261" customFormat="1" ht="18" customHeight="1">
      <c r="B8" s="262" t="s">
        <v>66</v>
      </c>
      <c r="C8" s="54" t="s">
        <v>312</v>
      </c>
      <c r="D8" s="438">
        <f t="shared" si="0"/>
        <v>2029.8775000000003</v>
      </c>
      <c r="E8" s="437">
        <f>'附表2 投资计划与资金筹措平衡表 '!D6*$D$22*'附表14 中信建设现金流量表（优先级）'!$D$21</f>
        <v>0</v>
      </c>
      <c r="F8" s="437">
        <f>'附表2 投资计划与资金筹措平衡表 '!E6*$D$22*'附表14 中信建设现金流量表（优先级）'!$D$21</f>
        <v>405.97550000000007</v>
      </c>
      <c r="G8" s="437">
        <f>'附表2 投资计划与资金筹措平衡表 '!F6*$D$22*'附表14 中信建设现金流量表（优先级）'!$D$21</f>
        <v>202.98775000000003</v>
      </c>
      <c r="H8" s="437">
        <f>'附表2 投资计划与资金筹措平衡表 '!G6*$D$22*'附表14 中信建设现金流量表（优先级）'!$D$21</f>
        <v>202.98775000000003</v>
      </c>
      <c r="I8" s="437">
        <f>'附表2 投资计划与资金筹措平衡表 '!H6*$D$22*'附表14 中信建设现金流量表（优先级）'!$D$21</f>
        <v>202.98775000000003</v>
      </c>
      <c r="J8" s="437">
        <f>'附表2 投资计划与资金筹措平衡表 '!I6*$D$22*'附表14 中信建设现金流量表（优先级）'!$D$21</f>
        <v>202.98775000000003</v>
      </c>
      <c r="K8" s="437">
        <f>'附表2 投资计划与资金筹措平衡表 '!J6*$D$22*'附表14 中信建设现金流量表（优先级）'!$D$21</f>
        <v>202.98775000000003</v>
      </c>
      <c r="L8" s="437">
        <f>'附表2 投资计划与资金筹措平衡表 '!K6*$D$22*'附表14 中信建设现金流量表（优先级）'!$D$21</f>
        <v>202.98775000000003</v>
      </c>
      <c r="M8" s="437">
        <f>'附表2 投资计划与资金筹措平衡表 '!L6*$D$22*'附表14 中信建设现金流量表（优先级）'!$D$21</f>
        <v>202.98775000000003</v>
      </c>
      <c r="N8" s="437">
        <f>'附表2 投资计划与资金筹措平衡表 '!M6*$D$22*'附表14 中信建设现金流量表（优先级）'!$D$21</f>
        <v>202.98775000000003</v>
      </c>
      <c r="O8" s="437"/>
      <c r="P8" s="437"/>
      <c r="Q8" s="437"/>
      <c r="R8" s="437"/>
      <c r="S8" s="437"/>
      <c r="T8" s="437"/>
      <c r="U8" s="437"/>
      <c r="V8" s="437"/>
      <c r="W8" s="437"/>
      <c r="X8" s="437"/>
    </row>
    <row r="9" spans="2:24" s="261" customFormat="1" ht="18" customHeight="1">
      <c r="B9" s="262" t="s">
        <v>68</v>
      </c>
      <c r="C9" s="54" t="s">
        <v>313</v>
      </c>
      <c r="D9" s="438">
        <f t="shared" si="0"/>
        <v>0.89999999999999991</v>
      </c>
      <c r="E9" s="437"/>
      <c r="F9" s="437">
        <v>0.1</v>
      </c>
      <c r="G9" s="437">
        <v>0.1</v>
      </c>
      <c r="H9" s="437">
        <v>0.1</v>
      </c>
      <c r="I9" s="437">
        <v>0.1</v>
      </c>
      <c r="J9" s="437">
        <v>0.1</v>
      </c>
      <c r="K9" s="437">
        <v>0.1</v>
      </c>
      <c r="L9" s="437">
        <v>0.1</v>
      </c>
      <c r="M9" s="437">
        <v>0.1</v>
      </c>
      <c r="N9" s="437">
        <v>0.1</v>
      </c>
      <c r="O9" s="437"/>
      <c r="P9" s="437"/>
      <c r="Q9" s="437"/>
      <c r="R9" s="437"/>
      <c r="S9" s="437"/>
      <c r="T9" s="437"/>
      <c r="U9" s="437"/>
      <c r="V9" s="437"/>
      <c r="W9" s="437"/>
      <c r="X9" s="437"/>
    </row>
    <row r="10" spans="2:24" s="261" customFormat="1" ht="18" customHeight="1">
      <c r="B10" s="262" t="s">
        <v>83</v>
      </c>
      <c r="C10" s="264" t="s">
        <v>390</v>
      </c>
      <c r="D10" s="438">
        <f t="shared" si="0"/>
        <v>114.84778301886793</v>
      </c>
      <c r="E10" s="437">
        <f>(E8-E9)*'0基本假设 '!$L$40/(1+'0基本假设 '!$L$40)</f>
        <v>0</v>
      </c>
      <c r="F10" s="437">
        <f>(F8-F9)*'0基本假设 '!$L$40/(1+'0基本假设 '!$L$40)</f>
        <v>22.974084905660376</v>
      </c>
      <c r="G10" s="437">
        <f>(G8-G9)*'0基本假设 '!$L$40/(1+'0基本假设 '!$L$40)</f>
        <v>11.484212264150946</v>
      </c>
      <c r="H10" s="437">
        <f>(H8-H9)*'0基本假设 '!$L$40/(1+'0基本假设 '!$L$40)</f>
        <v>11.484212264150946</v>
      </c>
      <c r="I10" s="437">
        <f>(I8-I9)*'0基本假设 '!$L$40/(1+'0基本假设 '!$L$40)</f>
        <v>11.484212264150946</v>
      </c>
      <c r="J10" s="437">
        <f>(J8-J9)*'0基本假设 '!$L$40/(1+'0基本假设 '!$L$40)</f>
        <v>11.484212264150946</v>
      </c>
      <c r="K10" s="437">
        <f>(K8-K9)*'0基本假设 '!$L$40/(1+'0基本假设 '!$L$40)</f>
        <v>11.484212264150946</v>
      </c>
      <c r="L10" s="437">
        <f>(L8-L9)*'0基本假设 '!$L$40/(1+'0基本假设 '!$L$40)</f>
        <v>11.484212264150946</v>
      </c>
      <c r="M10" s="437">
        <f>(M8-M9)*'0基本假设 '!$L$40/(1+'0基本假设 '!$L$40)</f>
        <v>11.484212264150946</v>
      </c>
      <c r="N10" s="437">
        <f>(N8-N9)*'0基本假设 '!$L$40/(1+'0基本假设 '!$L$40)</f>
        <v>11.484212264150946</v>
      </c>
      <c r="O10" s="437"/>
      <c r="P10" s="437"/>
      <c r="Q10" s="437"/>
      <c r="R10" s="437"/>
      <c r="S10" s="437"/>
      <c r="T10" s="437"/>
      <c r="U10" s="437"/>
      <c r="V10" s="437"/>
      <c r="W10" s="437"/>
      <c r="X10" s="437"/>
    </row>
    <row r="11" spans="2:24" s="261" customFormat="1" ht="18" customHeight="1">
      <c r="B11" s="262" t="s">
        <v>473</v>
      </c>
      <c r="C11" s="264" t="s">
        <v>472</v>
      </c>
      <c r="D11" s="438">
        <f t="shared" si="0"/>
        <v>478.53242924528314</v>
      </c>
      <c r="E11" s="437">
        <f>(E8-E9-E10)*'0基本假设 '!$L$41</f>
        <v>0</v>
      </c>
      <c r="F11" s="437">
        <f>(F8-F9-F10)*'0基本假设 '!$L$41</f>
        <v>95.725353773584914</v>
      </c>
      <c r="G11" s="437">
        <f>(G8-G9-G10)*'0基本假设 '!$L$41</f>
        <v>47.850884433962271</v>
      </c>
      <c r="H11" s="437">
        <f>(H8-H9-H10)*'0基本假设 '!$L$41</f>
        <v>47.850884433962271</v>
      </c>
      <c r="I11" s="437">
        <f>(I8-I9-I10)*'0基本假设 '!$L$41</f>
        <v>47.850884433962271</v>
      </c>
      <c r="J11" s="437">
        <f>(J8-J9-J10)*'0基本假设 '!$L$41</f>
        <v>47.850884433962271</v>
      </c>
      <c r="K11" s="437">
        <f>(K8-K9-K10)*'0基本假设 '!$L$41</f>
        <v>47.850884433962271</v>
      </c>
      <c r="L11" s="437">
        <f>(L8-L9-L10)*'0基本假设 '!$L$41</f>
        <v>47.850884433962271</v>
      </c>
      <c r="M11" s="437">
        <f>(M8-M9-M10)*'0基本假设 '!$L$41</f>
        <v>47.850884433962271</v>
      </c>
      <c r="N11" s="437">
        <f>(N8-N9-N10)*'0基本假设 '!$L$41</f>
        <v>47.850884433962271</v>
      </c>
      <c r="O11" s="437"/>
      <c r="P11" s="437"/>
      <c r="Q11" s="437"/>
      <c r="R11" s="437"/>
      <c r="S11" s="437"/>
      <c r="T11" s="437"/>
      <c r="U11" s="437"/>
      <c r="V11" s="437"/>
      <c r="W11" s="437"/>
      <c r="X11" s="437"/>
    </row>
    <row r="12" spans="2:24" s="261" customFormat="1" ht="18" customHeight="1">
      <c r="B12" s="259">
        <v>2</v>
      </c>
      <c r="C12" s="260" t="s">
        <v>197</v>
      </c>
      <c r="D12" s="438">
        <f t="shared" si="0"/>
        <v>20215.339593160385</v>
      </c>
      <c r="E12" s="436">
        <f>SUM(E13,E15:E16)</f>
        <v>18980.658809478238</v>
      </c>
      <c r="F12" s="436">
        <f t="shared" ref="F12:X12" si="5">SUM(F13,F15:F16)</f>
        <v>63.879290637332886</v>
      </c>
      <c r="G12" s="436">
        <f t="shared" si="5"/>
        <v>73.54010159333221</v>
      </c>
      <c r="H12" s="436">
        <f t="shared" si="5"/>
        <v>94.342983032551899</v>
      </c>
      <c r="I12" s="436">
        <f t="shared" si="5"/>
        <v>115.14586447177157</v>
      </c>
      <c r="J12" s="436">
        <f t="shared" si="5"/>
        <v>135.94874591099125</v>
      </c>
      <c r="K12" s="436">
        <f t="shared" si="5"/>
        <v>156.75162735021092</v>
      </c>
      <c r="L12" s="436">
        <f t="shared" si="5"/>
        <v>177.5545087894306</v>
      </c>
      <c r="M12" s="436">
        <f t="shared" si="5"/>
        <v>198.35739022865027</v>
      </c>
      <c r="N12" s="436">
        <f t="shared" si="5"/>
        <v>219.16027166786998</v>
      </c>
      <c r="O12" s="436">
        <f t="shared" si="5"/>
        <v>0</v>
      </c>
      <c r="P12" s="436">
        <f t="shared" si="5"/>
        <v>0</v>
      </c>
      <c r="Q12" s="436">
        <f t="shared" si="5"/>
        <v>0</v>
      </c>
      <c r="R12" s="436">
        <f t="shared" si="5"/>
        <v>0</v>
      </c>
      <c r="S12" s="436">
        <f t="shared" si="5"/>
        <v>0</v>
      </c>
      <c r="T12" s="436">
        <f t="shared" si="5"/>
        <v>0</v>
      </c>
      <c r="U12" s="436">
        <f t="shared" si="5"/>
        <v>0</v>
      </c>
      <c r="V12" s="436">
        <f t="shared" si="5"/>
        <v>0</v>
      </c>
      <c r="W12" s="436">
        <f t="shared" si="5"/>
        <v>0</v>
      </c>
      <c r="X12" s="436">
        <f t="shared" si="5"/>
        <v>0</v>
      </c>
    </row>
    <row r="13" spans="2:24" s="261" customFormat="1" ht="18" customHeight="1">
      <c r="B13" s="262">
        <v>2.1</v>
      </c>
      <c r="C13" s="264" t="s">
        <v>314</v>
      </c>
      <c r="D13" s="438">
        <f t="shared" si="0"/>
        <v>20000.000000000004</v>
      </c>
      <c r="E13" s="437">
        <f>SUM(E14:E14)</f>
        <v>18980.658809478238</v>
      </c>
      <c r="F13" s="437">
        <f>SUM(F14:F14)</f>
        <v>20.802881439219679</v>
      </c>
      <c r="G13" s="437">
        <f t="shared" ref="G13:M13" si="6">SUM(G14:G14)</f>
        <v>52.007203598049195</v>
      </c>
      <c r="H13" s="437">
        <f t="shared" si="6"/>
        <v>72.810085037268877</v>
      </c>
      <c r="I13" s="437">
        <f t="shared" si="6"/>
        <v>93.612966476488552</v>
      </c>
      <c r="J13" s="437">
        <f t="shared" si="6"/>
        <v>114.41584791570823</v>
      </c>
      <c r="K13" s="437">
        <f t="shared" si="6"/>
        <v>135.21872935492792</v>
      </c>
      <c r="L13" s="437">
        <f t="shared" si="6"/>
        <v>156.02161079414759</v>
      </c>
      <c r="M13" s="437">
        <f t="shared" si="6"/>
        <v>176.82449223336727</v>
      </c>
      <c r="N13" s="437">
        <f>SUM(N14:N14)</f>
        <v>197.62737367258697</v>
      </c>
      <c r="O13" s="437"/>
      <c r="P13" s="437"/>
      <c r="Q13" s="437"/>
      <c r="R13" s="437"/>
      <c r="S13" s="437"/>
      <c r="T13" s="437"/>
      <c r="U13" s="437"/>
      <c r="V13" s="437"/>
      <c r="W13" s="437"/>
      <c r="X13" s="437"/>
    </row>
    <row r="14" spans="2:24" s="261" customFormat="1" ht="18" customHeight="1">
      <c r="B14" s="262"/>
      <c r="C14" s="265" t="s">
        <v>15</v>
      </c>
      <c r="D14" s="438">
        <f t="shared" si="0"/>
        <v>20000.000000000004</v>
      </c>
      <c r="E14" s="437">
        <f>'附表2 投资计划与资金筹措平衡表 '!D12*'0基本假设 '!$N$15</f>
        <v>18980.658809478238</v>
      </c>
      <c r="F14" s="437">
        <f>'附表2 投资计划与资金筹措平衡表 '!E12*'0基本假设 '!$N$15</f>
        <v>20.802881439219679</v>
      </c>
      <c r="G14" s="437">
        <f>'附表2 投资计划与资金筹措平衡表 '!F12*'0基本假设 '!$N$15</f>
        <v>52.007203598049195</v>
      </c>
      <c r="H14" s="437">
        <f>'附表2 投资计划与资金筹措平衡表 '!G12*'0基本假设 '!$N$15</f>
        <v>72.810085037268877</v>
      </c>
      <c r="I14" s="437">
        <f>'附表2 投资计划与资金筹措平衡表 '!H12*'0基本假设 '!$N$15</f>
        <v>93.612966476488552</v>
      </c>
      <c r="J14" s="437">
        <f>'附表2 投资计划与资金筹措平衡表 '!I12*'0基本假设 '!$N$15</f>
        <v>114.41584791570823</v>
      </c>
      <c r="K14" s="437">
        <f>'附表2 投资计划与资金筹措平衡表 '!J12*'0基本假设 '!$N$15</f>
        <v>135.21872935492792</v>
      </c>
      <c r="L14" s="437">
        <f>'附表2 投资计划与资金筹措平衡表 '!K12*'0基本假设 '!$N$15</f>
        <v>156.02161079414759</v>
      </c>
      <c r="M14" s="437">
        <f>'附表2 投资计划与资金筹措平衡表 '!L12*'0基本假设 '!$N$15</f>
        <v>176.82449223336727</v>
      </c>
      <c r="N14" s="437">
        <f>'附表2 投资计划与资金筹措平衡表 '!M12*'0基本假设 '!$N$15</f>
        <v>197.62737367258697</v>
      </c>
      <c r="O14" s="437"/>
      <c r="P14" s="437"/>
      <c r="Q14" s="437"/>
      <c r="R14" s="437"/>
      <c r="S14" s="437"/>
      <c r="T14" s="437"/>
      <c r="U14" s="437"/>
      <c r="V14" s="437"/>
      <c r="W14" s="437"/>
      <c r="X14" s="437"/>
    </row>
    <row r="15" spans="2:24" s="261" customFormat="1" ht="18" customHeight="1">
      <c r="B15" s="262">
        <v>2.2000000000000002</v>
      </c>
      <c r="C15" s="264" t="s">
        <v>389</v>
      </c>
      <c r="D15" s="438">
        <f t="shared" si="0"/>
        <v>215.33959316037732</v>
      </c>
      <c r="E15" s="437">
        <f>(E7)*15%</f>
        <v>0</v>
      </c>
      <c r="F15" s="437">
        <f>(F7)*15%</f>
        <v>43.076409198113211</v>
      </c>
      <c r="G15" s="437">
        <f t="shared" ref="G15:M15" si="7">(G7)*15%</f>
        <v>21.532897995283019</v>
      </c>
      <c r="H15" s="437">
        <f t="shared" si="7"/>
        <v>21.532897995283019</v>
      </c>
      <c r="I15" s="437">
        <f t="shared" si="7"/>
        <v>21.532897995283019</v>
      </c>
      <c r="J15" s="437">
        <f t="shared" si="7"/>
        <v>21.532897995283019</v>
      </c>
      <c r="K15" s="437">
        <f t="shared" si="7"/>
        <v>21.532897995283019</v>
      </c>
      <c r="L15" s="437">
        <f t="shared" si="7"/>
        <v>21.532897995283019</v>
      </c>
      <c r="M15" s="437">
        <f t="shared" si="7"/>
        <v>21.532897995283019</v>
      </c>
      <c r="N15" s="437">
        <f>(N7)*15%</f>
        <v>21.532897995283019</v>
      </c>
      <c r="O15" s="437"/>
      <c r="P15" s="437"/>
      <c r="Q15" s="437"/>
      <c r="R15" s="437"/>
      <c r="S15" s="437"/>
      <c r="T15" s="437"/>
      <c r="U15" s="437"/>
      <c r="V15" s="437"/>
      <c r="W15" s="437"/>
      <c r="X15" s="437"/>
    </row>
    <row r="16" spans="2:24" s="261" customFormat="1" ht="18" customHeight="1">
      <c r="B16" s="262">
        <v>2.2999999999999998</v>
      </c>
      <c r="C16" s="264" t="s">
        <v>471</v>
      </c>
      <c r="D16" s="438"/>
      <c r="E16" s="437">
        <f>'附表2 投资计划与资金筹措平衡表 '!D12*'0基本假设 '!$N$15*'0基本假设 '!$L$43</f>
        <v>0</v>
      </c>
      <c r="F16" s="437">
        <f>('附表2 投资计划与资金筹措平衡表 '!D12+'附表2 投资计划与资金筹措平衡表 '!E12)*'0基本假设 '!$N$15*'0基本假设 '!$L$43</f>
        <v>0</v>
      </c>
      <c r="G16" s="437">
        <f>('附表2 投资计划与资金筹措平衡表 '!E12+'附表2 投资计划与资金筹措平衡表 '!F12)*'0基本假设 '!$N$15*'0基本假设 '!$L$43</f>
        <v>0</v>
      </c>
      <c r="H16" s="437">
        <f>('附表2 投资计划与资金筹措平衡表 '!F12+'附表2 投资计划与资金筹措平衡表 '!G12)*'0基本假设 '!$N$15*'0基本假设 '!$L$43</f>
        <v>0</v>
      </c>
      <c r="I16" s="437">
        <f>('附表2 投资计划与资金筹措平衡表 '!G12+'附表2 投资计划与资金筹措平衡表 '!H12)*'0基本假设 '!$N$15*'0基本假设 '!$L$43</f>
        <v>0</v>
      </c>
      <c r="J16" s="437">
        <f>('附表2 投资计划与资金筹措平衡表 '!H12+'附表2 投资计划与资金筹措平衡表 '!I12)*'0基本假设 '!$N$15*'0基本假设 '!$L$43</f>
        <v>0</v>
      </c>
      <c r="K16" s="437">
        <f>('附表2 投资计划与资金筹措平衡表 '!I12+'附表2 投资计划与资金筹措平衡表 '!J12)*'0基本假设 '!$N$15*'0基本假设 '!$L$43</f>
        <v>0</v>
      </c>
      <c r="L16" s="437">
        <f>('附表2 投资计划与资金筹措平衡表 '!J12+'附表2 投资计划与资金筹措平衡表 '!K12)*'0基本假设 '!$N$15*'0基本假设 '!$L$43</f>
        <v>0</v>
      </c>
      <c r="M16" s="437">
        <f>('附表2 投资计划与资金筹措平衡表 '!K12+'附表2 投资计划与资金筹措平衡表 '!L12)*'0基本假设 '!$N$15*'0基本假设 '!$L$43</f>
        <v>0</v>
      </c>
      <c r="N16" s="437">
        <f>('附表2 投资计划与资金筹措平衡表 '!L12+'附表2 投资计划与资金筹措平衡表 '!M12)*'0基本假设 '!$N$15*'0基本假设 '!$L$43</f>
        <v>0</v>
      </c>
      <c r="O16" s="437">
        <f>('附表2 投资计划与资金筹措平衡表 '!M12+'附表2 投资计划与资金筹措平衡表 '!N12)*'0基本假设 '!$N$15*'0基本假设 '!$L$43</f>
        <v>0</v>
      </c>
      <c r="P16" s="437">
        <f>('附表2 投资计划与资金筹措平衡表 '!N12+'附表2 投资计划与资金筹措平衡表 '!O12)*'0基本假设 '!$N$15*'0基本假设 '!$L$43</f>
        <v>0</v>
      </c>
      <c r="Q16" s="437">
        <f>('附表2 投资计划与资金筹措平衡表 '!O12+'附表2 投资计划与资金筹措平衡表 '!P12)*'0基本假设 '!$N$15*'0基本假设 '!$L$43</f>
        <v>0</v>
      </c>
      <c r="R16" s="437">
        <f>('附表2 投资计划与资金筹措平衡表 '!P12+'附表2 投资计划与资金筹措平衡表 '!Q12)*'0基本假设 '!$N$15*'0基本假设 '!$L$43</f>
        <v>0</v>
      </c>
      <c r="S16" s="437">
        <f>('附表2 投资计划与资金筹措平衡表 '!W12+'附表2 投资计划与资金筹措平衡表 '!X12)*'0基本假设 '!$N$15*'0基本假设 '!$L$43</f>
        <v>0</v>
      </c>
      <c r="T16" s="437">
        <f>('附表2 投资计划与资金筹措平衡表 '!X12+'附表2 投资计划与资金筹措平衡表 '!Y12)*'0基本假设 '!$N$15*'0基本假设 '!$L$43</f>
        <v>0</v>
      </c>
      <c r="U16" s="437">
        <f>('附表2 投资计划与资金筹措平衡表 '!Y12+'附表2 投资计划与资金筹措平衡表 '!Z12)*'0基本假设 '!$N$15*'0基本假设 '!$L$43</f>
        <v>0</v>
      </c>
      <c r="V16" s="437">
        <f>('附表2 投资计划与资金筹措平衡表 '!Z12+'附表2 投资计划与资金筹措平衡表 '!AA12)*'0基本假设 '!$N$15*'0基本假设 '!$L$43</f>
        <v>0</v>
      </c>
      <c r="W16" s="437">
        <f>('附表2 投资计划与资金筹措平衡表 '!AA12+'附表2 投资计划与资金筹措平衡表 '!AB12)*'0基本假设 '!$N$15*'0基本假设 '!$L$43</f>
        <v>0</v>
      </c>
      <c r="X16" s="437">
        <f>('附表2 投资计划与资金筹措平衡表 '!AB12+'附表2 投资计划与资金筹措平衡表 '!AC12)*'0基本假设 '!$N$15*'0基本假设 '!$L$43</f>
        <v>0</v>
      </c>
    </row>
    <row r="17" spans="2:24" s="261" customFormat="1" ht="18" customHeight="1">
      <c r="B17" s="259">
        <v>3</v>
      </c>
      <c r="C17" s="260" t="s">
        <v>215</v>
      </c>
      <c r="D17" s="438">
        <f ca="1">SUM(E17:X17)</f>
        <v>7618.9128898915633</v>
      </c>
      <c r="E17" s="436">
        <f t="shared" ref="E17:X17" ca="1" si="8">E4-E12</f>
        <v>-18230.658809478238</v>
      </c>
      <c r="F17" s="436">
        <f t="shared" ca="1" si="8"/>
        <v>973.29677068342187</v>
      </c>
      <c r="G17" s="436">
        <f t="shared" ca="1" si="8"/>
        <v>820.01255170855461</v>
      </c>
      <c r="H17" s="436">
        <f t="shared" ca="1" si="8"/>
        <v>8451.7124033798045</v>
      </c>
      <c r="I17" s="436">
        <f t="shared" ca="1" si="8"/>
        <v>3739.7669545715962</v>
      </c>
      <c r="J17" s="436">
        <f t="shared" ca="1" si="8"/>
        <v>3172.0797832928893</v>
      </c>
      <c r="K17" s="436">
        <f t="shared" ca="1" si="8"/>
        <v>201.02317255818105</v>
      </c>
      <c r="L17" s="436">
        <f t="shared" ca="1" si="8"/>
        <v>180.22029111896137</v>
      </c>
      <c r="M17" s="436">
        <f t="shared" ca="1" si="8"/>
        <v>159.4174096797417</v>
      </c>
      <c r="N17" s="436">
        <f t="shared" ca="1" si="8"/>
        <v>138.61452824052199</v>
      </c>
      <c r="O17" s="436">
        <f t="shared" ca="1" si="8"/>
        <v>214.22214660650519</v>
      </c>
      <c r="P17" s="436">
        <f t="shared" ca="1" si="8"/>
        <v>214.22214660650519</v>
      </c>
      <c r="Q17" s="436">
        <f t="shared" ca="1" si="8"/>
        <v>214.22214660650519</v>
      </c>
      <c r="R17" s="436">
        <f t="shared" ca="1" si="8"/>
        <v>214.22214660650519</v>
      </c>
      <c r="S17" s="436">
        <f t="shared" ca="1" si="8"/>
        <v>214.22214660650519</v>
      </c>
      <c r="T17" s="436">
        <f t="shared" ca="1" si="8"/>
        <v>214.22214660650519</v>
      </c>
      <c r="U17" s="436">
        <f t="shared" ca="1" si="8"/>
        <v>214.22214660650519</v>
      </c>
      <c r="V17" s="436">
        <f t="shared" ca="1" si="8"/>
        <v>214.22214660650519</v>
      </c>
      <c r="W17" s="436">
        <f t="shared" ca="1" si="8"/>
        <v>214.22214660650519</v>
      </c>
      <c r="X17" s="436">
        <f t="shared" ca="1" si="8"/>
        <v>6085.4285146775837</v>
      </c>
    </row>
    <row r="18" spans="2:24" s="261" customFormat="1" ht="18" customHeight="1">
      <c r="B18" s="266">
        <v>4</v>
      </c>
      <c r="C18" s="54" t="s">
        <v>315</v>
      </c>
      <c r="D18" s="437"/>
      <c r="E18" s="437">
        <f ca="1">E17</f>
        <v>-18230.658809478238</v>
      </c>
      <c r="F18" s="437">
        <f ca="1">E18+F17</f>
        <v>-17257.362038794818</v>
      </c>
      <c r="G18" s="437">
        <f t="shared" ref="G18:H18" ca="1" si="9">F18+G17</f>
        <v>-16437.349487086263</v>
      </c>
      <c r="H18" s="437">
        <f t="shared" ca="1" si="9"/>
        <v>-7985.6370837064587</v>
      </c>
      <c r="I18" s="437">
        <f t="shared" ref="I18" ca="1" si="10">H18+I17</f>
        <v>-4245.8701291348625</v>
      </c>
      <c r="J18" s="437">
        <f t="shared" ref="J18" ca="1" si="11">I18+J17</f>
        <v>-1073.7903458419732</v>
      </c>
      <c r="K18" s="437">
        <f t="shared" ref="K18" ca="1" si="12">J18+K17</f>
        <v>-872.7671732837922</v>
      </c>
      <c r="L18" s="437">
        <f t="shared" ref="L18" ca="1" si="13">K18+L17</f>
        <v>-692.54688216483078</v>
      </c>
      <c r="M18" s="437">
        <f t="shared" ref="M18" ca="1" si="14">L18+M17</f>
        <v>-533.12947248508908</v>
      </c>
      <c r="N18" s="437">
        <f t="shared" ref="N18" ca="1" si="15">M18+N17</f>
        <v>-394.51494424456712</v>
      </c>
      <c r="O18" s="437">
        <f t="shared" ref="O18" ca="1" si="16">N18+O17</f>
        <v>-180.29279763806193</v>
      </c>
      <c r="P18" s="437">
        <f t="shared" ref="P18" ca="1" si="17">O18+P17</f>
        <v>33.929348968443264</v>
      </c>
      <c r="Q18" s="437">
        <f t="shared" ref="Q18" ca="1" si="18">P18+Q17</f>
        <v>248.15149557494846</v>
      </c>
      <c r="R18" s="437">
        <f t="shared" ref="R18" ca="1" si="19">Q18+R17</f>
        <v>462.37364218145365</v>
      </c>
      <c r="S18" s="437">
        <f t="shared" ref="S18" ca="1" si="20">R18+S17</f>
        <v>676.59578878795878</v>
      </c>
      <c r="T18" s="437">
        <f t="shared" ref="T18" ca="1" si="21">S18+T17</f>
        <v>890.81793539446403</v>
      </c>
      <c r="U18" s="437">
        <f t="shared" ref="U18" ca="1" si="22">T18+U17</f>
        <v>1105.0400820009693</v>
      </c>
      <c r="V18" s="437">
        <f t="shared" ref="V18" ca="1" si="23">U18+V17</f>
        <v>1319.2622286074745</v>
      </c>
      <c r="W18" s="437">
        <f t="shared" ref="W18" ca="1" si="24">V18+W17</f>
        <v>1533.4843752139798</v>
      </c>
      <c r="X18" s="437">
        <f t="shared" ref="X18" ca="1" si="25">W18+X17</f>
        <v>7618.9128898915633</v>
      </c>
    </row>
    <row r="19" spans="2:24" s="261" customFormat="1" ht="18" customHeight="1">
      <c r="B19" s="267"/>
      <c r="C19" s="258"/>
      <c r="D19" s="268"/>
      <c r="E19" s="268"/>
      <c r="F19" s="268"/>
      <c r="G19" s="268"/>
      <c r="H19" s="268"/>
      <c r="I19" s="268"/>
      <c r="J19" s="268"/>
      <c r="K19" s="268"/>
      <c r="L19" s="268"/>
      <c r="M19" s="268"/>
      <c r="N19" s="268"/>
      <c r="O19" s="268"/>
      <c r="P19" s="268"/>
      <c r="Q19" s="268"/>
      <c r="R19" s="268"/>
      <c r="S19" s="268"/>
      <c r="T19" s="268"/>
      <c r="U19" s="268"/>
      <c r="V19" s="268"/>
      <c r="W19" s="268"/>
    </row>
    <row r="20" spans="2:24" s="261" customFormat="1" ht="18" customHeight="1" thickBot="1">
      <c r="B20" s="267"/>
      <c r="C20" s="258"/>
      <c r="D20" s="268"/>
      <c r="E20" s="268"/>
      <c r="F20" s="268"/>
      <c r="G20" s="268"/>
      <c r="H20" s="268"/>
      <c r="I20" s="268"/>
      <c r="J20" s="268"/>
      <c r="K20" s="268"/>
      <c r="L20" s="268"/>
      <c r="M20" s="268"/>
      <c r="N20" s="269"/>
      <c r="O20" s="268"/>
      <c r="P20" s="269"/>
      <c r="Q20" s="269"/>
      <c r="R20" s="269"/>
      <c r="S20" s="269"/>
      <c r="T20" s="268"/>
      <c r="U20" s="268"/>
      <c r="V20" s="268"/>
      <c r="W20" s="268"/>
    </row>
    <row r="21" spans="2:24" s="261" customFormat="1" ht="18" customHeight="1">
      <c r="C21" s="270" t="s">
        <v>316</v>
      </c>
      <c r="D21" s="271">
        <f>'0基本假设 '!L53</f>
        <v>0.05</v>
      </c>
      <c r="E21" s="271"/>
      <c r="F21" s="272"/>
      <c r="G21" s="272"/>
      <c r="H21" s="272"/>
      <c r="I21" s="272"/>
      <c r="J21" s="272"/>
      <c r="K21" s="272"/>
      <c r="L21" s="272"/>
      <c r="M21" s="273"/>
      <c r="N21" s="269"/>
      <c r="O21" s="269"/>
      <c r="P21" s="269"/>
      <c r="Q21" s="269"/>
      <c r="R21" s="269"/>
      <c r="S21" s="269"/>
    </row>
    <row r="22" spans="2:24" s="261" customFormat="1" ht="18" customHeight="1">
      <c r="C22" s="258" t="s">
        <v>392</v>
      </c>
      <c r="D22" s="336">
        <v>1</v>
      </c>
      <c r="E22" s="336"/>
      <c r="F22" s="272"/>
      <c r="G22" s="272"/>
      <c r="H22" s="272"/>
      <c r="I22" s="272"/>
      <c r="J22" s="272"/>
      <c r="K22" s="272"/>
      <c r="L22" s="272"/>
      <c r="M22" s="273"/>
      <c r="N22" s="269"/>
      <c r="O22" s="269"/>
      <c r="P22" s="269"/>
      <c r="Q22" s="269"/>
      <c r="R22" s="269"/>
      <c r="S22" s="269"/>
    </row>
    <row r="23" spans="2:24" s="261" customFormat="1" ht="12">
      <c r="C23" s="274" t="s">
        <v>317</v>
      </c>
      <c r="D23" s="283">
        <f ca="1">(1+IRR(E17:X17))^4-1</f>
        <v>0.22291174297030247</v>
      </c>
      <c r="E23" s="283" t="str">
        <f ca="1">IF(D23&gt;=13%,"可行","不可行")</f>
        <v>可行</v>
      </c>
      <c r="F23" s="277"/>
      <c r="G23" s="277"/>
      <c r="H23" s="277"/>
      <c r="I23" s="277"/>
      <c r="J23" s="277"/>
      <c r="K23" s="277"/>
      <c r="L23" s="277"/>
      <c r="M23" s="269"/>
      <c r="N23" s="269"/>
      <c r="O23" s="269"/>
      <c r="P23" s="269"/>
      <c r="Q23" s="269"/>
      <c r="R23" s="269"/>
      <c r="S23" s="269"/>
    </row>
    <row r="24" spans="2:24" s="261" customFormat="1" ht="12">
      <c r="C24" s="278" t="s">
        <v>318</v>
      </c>
      <c r="D24" s="351">
        <f ca="1">(COUNTIF(E18:X18,"&lt;0")+ABS(INDEX(E18:X18,1,COUNTIF(E18:X18,"&lt;0")))/(INDEX(E18:X18,1,COUNTIF(E18:X18,"&lt;0")+1)+ABS(INDEX(E18:X18,1,COUNTIF(E18:X18,"&lt;0")))))/4</f>
        <v>2.960404013420276</v>
      </c>
      <c r="E24" s="275"/>
      <c r="F24" s="276"/>
      <c r="G24" s="276"/>
      <c r="H24" s="276"/>
      <c r="I24" s="276"/>
      <c r="J24" s="276"/>
      <c r="K24" s="276"/>
      <c r="L24" s="276"/>
      <c r="M24" s="269"/>
      <c r="N24" s="269"/>
      <c r="O24" s="269"/>
      <c r="P24" s="269"/>
      <c r="Q24" s="269"/>
      <c r="R24" s="269"/>
      <c r="S24" s="269"/>
    </row>
    <row r="25" spans="2:24" s="261" customFormat="1" ht="18" customHeight="1">
      <c r="C25" s="278" t="s">
        <v>394</v>
      </c>
      <c r="D25" s="275">
        <f ca="1">NPV(1.5%,E17:X17)</f>
        <v>4764.7210915058204</v>
      </c>
      <c r="E25" s="283" t="str">
        <f ca="1">IF(D25&gt;0,"可行","不可行")</f>
        <v>可行</v>
      </c>
      <c r="F25" s="49"/>
      <c r="G25" s="49"/>
      <c r="H25" s="49"/>
      <c r="I25" s="49"/>
      <c r="J25" s="49"/>
      <c r="K25" s="49"/>
      <c r="L25" s="49"/>
      <c r="M25" s="269"/>
      <c r="N25" s="269"/>
      <c r="O25" s="269"/>
      <c r="P25" s="269"/>
      <c r="Q25" s="269"/>
      <c r="R25" s="269"/>
      <c r="S25" s="269"/>
    </row>
    <row r="26" spans="2:24" ht="13">
      <c r="B26" s="52"/>
      <c r="C26" s="278" t="s">
        <v>319</v>
      </c>
      <c r="D26" s="275">
        <f>D7-D15</f>
        <v>1220.2576945754718</v>
      </c>
      <c r="E26" s="275"/>
      <c r="M26" s="282"/>
      <c r="N26" s="269"/>
      <c r="O26" s="269"/>
      <c r="P26" s="269"/>
      <c r="Q26" s="269"/>
      <c r="R26" s="269"/>
      <c r="S26" s="269"/>
    </row>
    <row r="27" spans="2:24" ht="18" customHeight="1">
      <c r="C27" s="278" t="s">
        <v>40</v>
      </c>
      <c r="D27" s="275">
        <f ca="1">D17-D26</f>
        <v>6398.6551953160915</v>
      </c>
      <c r="E27" s="275"/>
      <c r="M27" s="269"/>
      <c r="N27" s="269"/>
      <c r="O27" s="269"/>
      <c r="P27" s="269"/>
      <c r="Q27" s="269"/>
      <c r="R27" s="269"/>
      <c r="S27" s="269"/>
    </row>
    <row r="28" spans="2:24" ht="18" customHeight="1" thickBot="1">
      <c r="C28" s="258" t="s">
        <v>320</v>
      </c>
      <c r="D28" s="279">
        <f ca="1">N18</f>
        <v>-394.51494424456712</v>
      </c>
      <c r="E28" s="337" t="str">
        <f ca="1">IF(D28&gt;=0,"建设期回正","建设期回收率"&amp;ROUND((D13+D28)/D13,2))</f>
        <v>建设期回收率0.98</v>
      </c>
      <c r="M28" s="269"/>
      <c r="N28" s="269"/>
      <c r="O28" s="269"/>
      <c r="P28" s="269"/>
      <c r="Q28" s="269"/>
      <c r="R28" s="269"/>
      <c r="S28" s="269"/>
    </row>
    <row r="29" spans="2:24" ht="18" customHeight="1">
      <c r="C29" s="280"/>
      <c r="D29" s="281"/>
      <c r="M29" s="269"/>
      <c r="N29" s="269"/>
      <c r="O29" s="269"/>
      <c r="P29" s="269"/>
      <c r="Q29" s="269"/>
      <c r="R29" s="269"/>
      <c r="S29" s="269"/>
    </row>
    <row r="30" spans="2:24" ht="18" customHeight="1">
      <c r="C30" s="269"/>
      <c r="D30" s="269"/>
    </row>
    <row r="31" spans="2:24" ht="18" customHeight="1">
      <c r="C31" s="269"/>
      <c r="D31" s="269"/>
      <c r="R31" s="282"/>
    </row>
    <row r="32" spans="2:24" ht="18" customHeight="1">
      <c r="B32" s="469" t="s">
        <v>554</v>
      </c>
      <c r="C32" s="470"/>
      <c r="D32"/>
      <c r="R32" s="282"/>
    </row>
    <row r="33" spans="18:18" ht="18" customHeight="1">
      <c r="R33" s="282"/>
    </row>
    <row r="34" spans="18:18" ht="18" customHeight="1">
      <c r="R34" s="282"/>
    </row>
    <row r="35" spans="18:18" ht="18" customHeight="1">
      <c r="R35" s="282"/>
    </row>
    <row r="36" spans="18:18" ht="18" customHeight="1">
      <c r="R36" s="282"/>
    </row>
    <row r="37" spans="18:18" ht="18" customHeight="1">
      <c r="R37" s="282"/>
    </row>
    <row r="38" spans="18:18" ht="18" customHeight="1">
      <c r="R38" s="282"/>
    </row>
  </sheetData>
  <mergeCells count="1">
    <mergeCell ref="B2:X2"/>
  </mergeCells>
  <phoneticPr fontId="27" type="noConversion"/>
  <hyperlinks>
    <hyperlink ref="B32" location="目录!A1" display="点击返回目录"/>
  </hyperlinks>
  <pageMargins left="0.69930555555555596" right="0.69930555555555596" top="0.75" bottom="0.75" header="0.3" footer="0.3"/>
  <pageSetup paperSize="9" scale="2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1E3EA"/>
  </sheetPr>
  <dimension ref="B1:X37"/>
  <sheetViews>
    <sheetView zoomScale="80" zoomScaleNormal="80" zoomScaleSheetLayoutView="80" workbookViewId="0">
      <selection activeCell="K31" sqref="K31"/>
    </sheetView>
  </sheetViews>
  <sheetFormatPr defaultColWidth="8.90625" defaultRowHeight="14.5"/>
  <cols>
    <col min="1" max="1" width="2.453125" style="52" customWidth="1"/>
    <col min="2" max="2" width="5.90625" style="257" customWidth="1"/>
    <col min="3" max="3" width="14.7265625" style="257" customWidth="1"/>
    <col min="4" max="4" width="12.453125" style="52" bestFit="1" customWidth="1"/>
    <col min="5" max="5" width="11.36328125" style="52" bestFit="1" customWidth="1"/>
    <col min="6" max="6" width="10.26953125" style="52" bestFit="1" customWidth="1"/>
    <col min="7" max="23" width="11.36328125" style="52" bestFit="1" customWidth="1"/>
    <col min="24" max="24" width="10.26953125" style="52" bestFit="1" customWidth="1"/>
    <col min="25" max="16384" width="8.90625" style="52"/>
  </cols>
  <sheetData>
    <row r="1" spans="2:24" ht="13.4" customHeight="1"/>
    <row r="2" spans="2:24" ht="30" customHeight="1">
      <c r="B2" s="790" t="s">
        <v>765</v>
      </c>
      <c r="C2" s="791"/>
      <c r="D2" s="791"/>
      <c r="E2" s="791"/>
      <c r="F2" s="791"/>
      <c r="G2" s="791"/>
      <c r="H2" s="791"/>
      <c r="I2" s="791"/>
      <c r="J2" s="791"/>
      <c r="K2" s="791"/>
      <c r="L2" s="791"/>
      <c r="M2" s="791"/>
      <c r="N2" s="791"/>
      <c r="O2" s="791"/>
      <c r="P2" s="791"/>
      <c r="Q2" s="791"/>
      <c r="R2" s="791"/>
      <c r="S2" s="791"/>
      <c r="T2" s="791"/>
      <c r="U2" s="791"/>
      <c r="V2" s="791"/>
      <c r="W2" s="791"/>
      <c r="X2" s="791"/>
    </row>
    <row r="3" spans="2:24" s="353" customFormat="1" ht="18" customHeight="1">
      <c r="B3" s="520" t="s">
        <v>574</v>
      </c>
      <c r="C3" s="520" t="s">
        <v>573</v>
      </c>
      <c r="D3" s="521" t="s">
        <v>575</v>
      </c>
      <c r="E3" s="484" t="s">
        <v>477</v>
      </c>
      <c r="F3" s="484" t="s">
        <v>478</v>
      </c>
      <c r="G3" s="484" t="s">
        <v>479</v>
      </c>
      <c r="H3" s="484" t="s">
        <v>480</v>
      </c>
      <c r="I3" s="484" t="s">
        <v>481</v>
      </c>
      <c r="J3" s="484" t="s">
        <v>482</v>
      </c>
      <c r="K3" s="484" t="s">
        <v>483</v>
      </c>
      <c r="L3" s="484" t="s">
        <v>484</v>
      </c>
      <c r="M3" s="484" t="s">
        <v>485</v>
      </c>
      <c r="N3" s="484" t="s">
        <v>486</v>
      </c>
      <c r="O3" s="484" t="s">
        <v>487</v>
      </c>
      <c r="P3" s="484" t="s">
        <v>488</v>
      </c>
      <c r="Q3" s="484" t="s">
        <v>489</v>
      </c>
      <c r="R3" s="484" t="s">
        <v>490</v>
      </c>
      <c r="S3" s="484" t="s">
        <v>491</v>
      </c>
      <c r="T3" s="484" t="s">
        <v>492</v>
      </c>
      <c r="U3" s="484" t="s">
        <v>493</v>
      </c>
      <c r="V3" s="484" t="s">
        <v>494</v>
      </c>
      <c r="W3" s="484" t="s">
        <v>495</v>
      </c>
      <c r="X3" s="484" t="s">
        <v>496</v>
      </c>
    </row>
    <row r="4" spans="2:24" s="261" customFormat="1" ht="18" customHeight="1">
      <c r="B4" s="259">
        <v>1</v>
      </c>
      <c r="C4" s="260" t="s">
        <v>196</v>
      </c>
      <c r="D4" s="436">
        <f>SUM(E4:X4)</f>
        <v>50618.005850237445</v>
      </c>
      <c r="E4" s="436">
        <f t="shared" ref="E4:X4" si="0">SUM(E5:E7,E10,E11)</f>
        <v>0</v>
      </c>
      <c r="F4" s="436">
        <f t="shared" si="0"/>
        <v>65.576325000000011</v>
      </c>
      <c r="G4" s="436">
        <f t="shared" si="0"/>
        <v>163.94081250000002</v>
      </c>
      <c r="H4" s="436">
        <f t="shared" si="0"/>
        <v>229.51713750000005</v>
      </c>
      <c r="I4" s="436">
        <f t="shared" si="0"/>
        <v>295.09346250000004</v>
      </c>
      <c r="J4" s="436">
        <f t="shared" si="0"/>
        <v>360.66978750000004</v>
      </c>
      <c r="K4" s="436">
        <f t="shared" si="0"/>
        <v>426.24611250000009</v>
      </c>
      <c r="L4" s="436">
        <f t="shared" si="0"/>
        <v>491.82243750000009</v>
      </c>
      <c r="M4" s="436">
        <f t="shared" si="0"/>
        <v>557.39876250000009</v>
      </c>
      <c r="N4" s="436">
        <f t="shared" si="0"/>
        <v>622.9750875000002</v>
      </c>
      <c r="O4" s="436">
        <f t="shared" si="0"/>
        <v>4740.4765925237443</v>
      </c>
      <c r="P4" s="436">
        <f t="shared" si="0"/>
        <v>4740.4765925237443</v>
      </c>
      <c r="Q4" s="436">
        <f t="shared" si="0"/>
        <v>4740.4765925237443</v>
      </c>
      <c r="R4" s="436">
        <f t="shared" si="0"/>
        <v>4740.4765925237443</v>
      </c>
      <c r="S4" s="436">
        <f t="shared" si="0"/>
        <v>4740.4765925237443</v>
      </c>
      <c r="T4" s="436">
        <f t="shared" si="0"/>
        <v>4740.4765925237443</v>
      </c>
      <c r="U4" s="436">
        <f t="shared" si="0"/>
        <v>4740.4765925237443</v>
      </c>
      <c r="V4" s="436">
        <f t="shared" si="0"/>
        <v>4740.4765925237443</v>
      </c>
      <c r="W4" s="436">
        <f t="shared" si="0"/>
        <v>4740.4765925237443</v>
      </c>
      <c r="X4" s="436">
        <f t="shared" si="0"/>
        <v>4740.4765925237443</v>
      </c>
    </row>
    <row r="5" spans="2:24" s="261" customFormat="1" ht="18" customHeight="1">
      <c r="B5" s="262">
        <v>1.1000000000000001</v>
      </c>
      <c r="C5" s="54" t="s">
        <v>429</v>
      </c>
      <c r="D5" s="438">
        <f>SUM(E5:X5)</f>
        <v>0</v>
      </c>
      <c r="E5" s="437"/>
      <c r="F5" s="437"/>
      <c r="G5" s="437"/>
      <c r="H5" s="437"/>
      <c r="I5" s="437"/>
      <c r="J5" s="437"/>
      <c r="K5" s="437"/>
      <c r="L5" s="437"/>
      <c r="M5" s="437"/>
      <c r="N5" s="437"/>
      <c r="O5" s="437"/>
      <c r="P5" s="437"/>
      <c r="Q5" s="437"/>
      <c r="R5" s="437"/>
      <c r="S5" s="437"/>
      <c r="T5" s="437"/>
      <c r="U5" s="437"/>
      <c r="V5" s="437"/>
      <c r="W5" s="437"/>
      <c r="X5" s="437"/>
    </row>
    <row r="6" spans="2:24" s="261" customFormat="1" ht="18" customHeight="1">
      <c r="B6" s="262">
        <v>1.2</v>
      </c>
      <c r="C6" s="54" t="s">
        <v>214</v>
      </c>
      <c r="D6" s="438">
        <f>SUM(E6:X6)</f>
        <v>0</v>
      </c>
      <c r="E6" s="437"/>
      <c r="F6" s="437"/>
      <c r="G6" s="437"/>
      <c r="H6" s="437"/>
      <c r="I6" s="437"/>
      <c r="J6" s="437"/>
      <c r="K6" s="437"/>
      <c r="L6" s="437"/>
      <c r="M6" s="437"/>
      <c r="N6" s="437"/>
      <c r="O6" s="437"/>
      <c r="P6" s="437"/>
      <c r="Q6" s="437"/>
      <c r="R6" s="437"/>
      <c r="S6" s="437"/>
      <c r="T6" s="437"/>
      <c r="U6" s="437"/>
      <c r="V6" s="437"/>
      <c r="W6" s="437"/>
      <c r="X6" s="437"/>
    </row>
    <row r="7" spans="2:24" s="261" customFormat="1" ht="30" customHeight="1">
      <c r="B7" s="262">
        <v>1.3</v>
      </c>
      <c r="C7" s="263" t="s">
        <v>742</v>
      </c>
      <c r="D7" s="438">
        <f>SUM(E7:X7)</f>
        <v>50618.005850237445</v>
      </c>
      <c r="E7" s="437">
        <f>'附表7 银行贷款还本付息表'!E23</f>
        <v>0</v>
      </c>
      <c r="F7" s="437">
        <f>'附表7 银行贷款还本付息表'!F23</f>
        <v>65.576325000000011</v>
      </c>
      <c r="G7" s="437">
        <f>'附表7 银行贷款还本付息表'!G23</f>
        <v>163.94081250000002</v>
      </c>
      <c r="H7" s="437">
        <f>'附表7 银行贷款还本付息表'!H23</f>
        <v>229.51713750000005</v>
      </c>
      <c r="I7" s="437">
        <f>'附表7 银行贷款还本付息表'!I23</f>
        <v>295.09346250000004</v>
      </c>
      <c r="J7" s="437">
        <f>'附表7 银行贷款还本付息表'!J23</f>
        <v>360.66978750000004</v>
      </c>
      <c r="K7" s="437">
        <f>'附表7 银行贷款还本付息表'!K23</f>
        <v>426.24611250000009</v>
      </c>
      <c r="L7" s="437">
        <f>'附表7 银行贷款还本付息表'!L23</f>
        <v>491.82243750000009</v>
      </c>
      <c r="M7" s="437">
        <f>'附表7 银行贷款还本付息表'!M23</f>
        <v>557.39876250000009</v>
      </c>
      <c r="N7" s="437">
        <f>'附表7 银行贷款还本付息表'!N23</f>
        <v>622.9750875000002</v>
      </c>
      <c r="O7" s="437">
        <f>'附表7 银行贷款还本付息表'!O23</f>
        <v>4740.4765925237443</v>
      </c>
      <c r="P7" s="437">
        <f>'附表7 银行贷款还本付息表'!P23</f>
        <v>4740.4765925237443</v>
      </c>
      <c r="Q7" s="437">
        <f>'附表7 银行贷款还本付息表'!Q23</f>
        <v>4740.4765925237443</v>
      </c>
      <c r="R7" s="437">
        <f>'附表7 银行贷款还本付息表'!R23</f>
        <v>4740.4765925237443</v>
      </c>
      <c r="S7" s="437">
        <f>'附表7 银行贷款还本付息表'!S23</f>
        <v>4740.4765925237443</v>
      </c>
      <c r="T7" s="437">
        <f>'附表7 银行贷款还本付息表'!T23</f>
        <v>4740.4765925237443</v>
      </c>
      <c r="U7" s="437">
        <f>'附表7 银行贷款还本付息表'!U23</f>
        <v>4740.4765925237443</v>
      </c>
      <c r="V7" s="437">
        <f>'附表7 银行贷款还本付息表'!V23</f>
        <v>4740.4765925237443</v>
      </c>
      <c r="W7" s="437">
        <f>'附表7 银行贷款还本付息表'!W23</f>
        <v>4740.4765925237443</v>
      </c>
      <c r="X7" s="437">
        <f>'附表7 银行贷款还本付息表'!X23</f>
        <v>4740.4765925237443</v>
      </c>
    </row>
    <row r="8" spans="2:24" s="261" customFormat="1" ht="18" hidden="1" customHeight="1">
      <c r="B8" s="262"/>
      <c r="C8" s="54"/>
      <c r="D8" s="438"/>
      <c r="E8" s="437"/>
      <c r="F8" s="437"/>
      <c r="G8" s="437"/>
      <c r="H8" s="437"/>
      <c r="I8" s="437"/>
      <c r="J8" s="437"/>
      <c r="K8" s="437"/>
      <c r="L8" s="437"/>
      <c r="M8" s="437"/>
      <c r="N8" s="437"/>
      <c r="O8" s="437"/>
      <c r="P8" s="437"/>
      <c r="Q8" s="437"/>
      <c r="R8" s="437"/>
      <c r="S8" s="437"/>
      <c r="T8" s="437"/>
      <c r="U8" s="437"/>
      <c r="V8" s="437"/>
      <c r="W8" s="437"/>
      <c r="X8" s="437"/>
    </row>
    <row r="9" spans="2:24" s="261" customFormat="1" ht="18" hidden="1" customHeight="1">
      <c r="B9" s="262"/>
      <c r="C9" s="54"/>
      <c r="D9" s="438"/>
      <c r="E9" s="437"/>
      <c r="F9" s="437"/>
      <c r="G9" s="437"/>
      <c r="H9" s="437"/>
      <c r="I9" s="437"/>
      <c r="J9" s="437"/>
      <c r="K9" s="437"/>
      <c r="L9" s="437"/>
      <c r="M9" s="437"/>
      <c r="N9" s="437"/>
      <c r="O9" s="437"/>
      <c r="P9" s="437"/>
      <c r="Q9" s="437"/>
      <c r="R9" s="437"/>
      <c r="S9" s="437"/>
      <c r="T9" s="437"/>
      <c r="U9" s="437"/>
      <c r="V9" s="437"/>
      <c r="W9" s="437"/>
      <c r="X9" s="437"/>
    </row>
    <row r="10" spans="2:24" s="261" customFormat="1" ht="18" customHeight="1">
      <c r="B10" s="262">
        <v>1.4</v>
      </c>
      <c r="C10" s="264" t="s">
        <v>431</v>
      </c>
      <c r="D10" s="438">
        <f>SUM(E10:X10)</f>
        <v>0</v>
      </c>
      <c r="E10" s="437"/>
      <c r="F10" s="437"/>
      <c r="G10" s="437"/>
      <c r="H10" s="437"/>
      <c r="I10" s="437"/>
      <c r="J10" s="437"/>
      <c r="K10" s="437"/>
      <c r="L10" s="437"/>
      <c r="M10" s="437"/>
      <c r="N10" s="437"/>
      <c r="O10" s="437"/>
      <c r="P10" s="437"/>
      <c r="Q10" s="437"/>
      <c r="R10" s="437"/>
      <c r="S10" s="437"/>
      <c r="T10" s="437"/>
      <c r="U10" s="437"/>
      <c r="V10" s="437"/>
      <c r="W10" s="437"/>
      <c r="X10" s="437"/>
    </row>
    <row r="11" spans="2:24" s="261" customFormat="1" ht="18" customHeight="1">
      <c r="B11" s="262">
        <v>1.5</v>
      </c>
      <c r="C11" s="264" t="s">
        <v>570</v>
      </c>
      <c r="D11" s="438"/>
      <c r="E11" s="437"/>
      <c r="F11" s="437"/>
      <c r="G11" s="437"/>
      <c r="H11" s="437"/>
      <c r="I11" s="437"/>
      <c r="J11" s="437"/>
      <c r="K11" s="437"/>
      <c r="L11" s="437"/>
      <c r="M11" s="437"/>
      <c r="N11" s="437"/>
      <c r="O11" s="437"/>
      <c r="P11" s="437"/>
      <c r="Q11" s="437"/>
      <c r="R11" s="437"/>
      <c r="S11" s="437"/>
      <c r="T11" s="437"/>
      <c r="U11" s="437"/>
      <c r="V11" s="437"/>
      <c r="W11" s="437"/>
      <c r="X11" s="437"/>
    </row>
    <row r="12" spans="2:24" s="261" customFormat="1" ht="18" customHeight="1">
      <c r="B12" s="259">
        <v>2</v>
      </c>
      <c r="C12" s="260" t="s">
        <v>197</v>
      </c>
      <c r="D12" s="438">
        <f t="shared" ref="D12:D20" si="1">SUM(E12:X12)</f>
        <v>43717.550000000017</v>
      </c>
      <c r="E12" s="436">
        <f>SUM(E13,E16:E19)</f>
        <v>0</v>
      </c>
      <c r="F12" s="436">
        <f t="shared" ref="F12:X12" si="2">SUM(F13,F16:F19)</f>
        <v>8743.510000000002</v>
      </c>
      <c r="G12" s="436">
        <f t="shared" si="2"/>
        <v>4371.755000000001</v>
      </c>
      <c r="H12" s="436">
        <f t="shared" si="2"/>
        <v>4371.755000000001</v>
      </c>
      <c r="I12" s="436">
        <f t="shared" si="2"/>
        <v>4371.755000000001</v>
      </c>
      <c r="J12" s="436">
        <f t="shared" si="2"/>
        <v>4371.755000000001</v>
      </c>
      <c r="K12" s="436">
        <f t="shared" si="2"/>
        <v>4371.755000000001</v>
      </c>
      <c r="L12" s="436">
        <f t="shared" si="2"/>
        <v>4371.755000000001</v>
      </c>
      <c r="M12" s="436">
        <f t="shared" si="2"/>
        <v>4371.755000000001</v>
      </c>
      <c r="N12" s="436">
        <f t="shared" si="2"/>
        <v>4371.755000000001</v>
      </c>
      <c r="O12" s="436">
        <f t="shared" si="2"/>
        <v>0</v>
      </c>
      <c r="P12" s="436">
        <f t="shared" si="2"/>
        <v>0</v>
      </c>
      <c r="Q12" s="436">
        <f t="shared" si="2"/>
        <v>0</v>
      </c>
      <c r="R12" s="436">
        <f t="shared" si="2"/>
        <v>0</v>
      </c>
      <c r="S12" s="436">
        <f t="shared" si="2"/>
        <v>0</v>
      </c>
      <c r="T12" s="436">
        <f t="shared" si="2"/>
        <v>0</v>
      </c>
      <c r="U12" s="436">
        <f t="shared" si="2"/>
        <v>0</v>
      </c>
      <c r="V12" s="436">
        <f t="shared" si="2"/>
        <v>0</v>
      </c>
      <c r="W12" s="436">
        <f t="shared" si="2"/>
        <v>0</v>
      </c>
      <c r="X12" s="436">
        <f t="shared" si="2"/>
        <v>0</v>
      </c>
    </row>
    <row r="13" spans="2:24" s="261" customFormat="1" ht="18" customHeight="1">
      <c r="B13" s="262">
        <v>2.1</v>
      </c>
      <c r="C13" s="264" t="s">
        <v>430</v>
      </c>
      <c r="D13" s="438">
        <f t="shared" si="1"/>
        <v>0</v>
      </c>
      <c r="E13" s="437">
        <f>SUM(E14:E15)</f>
        <v>0</v>
      </c>
      <c r="F13" s="437">
        <f t="shared" ref="F13:N13" si="3">SUM(F14:F15)</f>
        <v>0</v>
      </c>
      <c r="G13" s="437">
        <f t="shared" si="3"/>
        <v>0</v>
      </c>
      <c r="H13" s="437">
        <f t="shared" si="3"/>
        <v>0</v>
      </c>
      <c r="I13" s="437">
        <f t="shared" si="3"/>
        <v>0</v>
      </c>
      <c r="J13" s="437">
        <f t="shared" si="3"/>
        <v>0</v>
      </c>
      <c r="K13" s="437">
        <f t="shared" si="3"/>
        <v>0</v>
      </c>
      <c r="L13" s="437">
        <f t="shared" si="3"/>
        <v>0</v>
      </c>
      <c r="M13" s="437">
        <f t="shared" si="3"/>
        <v>0</v>
      </c>
      <c r="N13" s="437">
        <f t="shared" si="3"/>
        <v>0</v>
      </c>
      <c r="O13" s="437"/>
      <c r="P13" s="437"/>
      <c r="Q13" s="437"/>
      <c r="R13" s="437"/>
      <c r="S13" s="437"/>
      <c r="T13" s="437"/>
      <c r="U13" s="437"/>
      <c r="V13" s="437"/>
      <c r="W13" s="437"/>
      <c r="X13" s="437"/>
    </row>
    <row r="14" spans="2:24" s="261" customFormat="1" ht="18" customHeight="1">
      <c r="B14" s="262"/>
      <c r="C14" s="265" t="s">
        <v>15</v>
      </c>
      <c r="D14" s="438">
        <f t="shared" si="1"/>
        <v>0</v>
      </c>
      <c r="E14" s="437"/>
      <c r="F14" s="437"/>
      <c r="G14" s="437"/>
      <c r="H14" s="437"/>
      <c r="I14" s="437"/>
      <c r="J14" s="437"/>
      <c r="K14" s="437"/>
      <c r="L14" s="437"/>
      <c r="M14" s="437"/>
      <c r="N14" s="437"/>
      <c r="O14" s="437"/>
      <c r="P14" s="437"/>
      <c r="Q14" s="437"/>
      <c r="R14" s="437"/>
      <c r="S14" s="437"/>
      <c r="T14" s="437"/>
      <c r="U14" s="437"/>
      <c r="V14" s="437"/>
      <c r="W14" s="437"/>
      <c r="X14" s="437"/>
    </row>
    <row r="15" spans="2:24" s="261" customFormat="1" ht="18" customHeight="1">
      <c r="B15" s="262"/>
      <c r="C15" s="265" t="s">
        <v>455</v>
      </c>
      <c r="D15" s="438">
        <f t="shared" si="1"/>
        <v>0</v>
      </c>
      <c r="E15" s="437">
        <f>'附表2 投资计划与资金筹措平衡表 '!D21</f>
        <v>0</v>
      </c>
      <c r="F15" s="437">
        <f>'附表2 投资计划与资金筹措平衡表 '!E21</f>
        <v>0</v>
      </c>
      <c r="G15" s="437">
        <f>'附表2 投资计划与资金筹措平衡表 '!F21</f>
        <v>0</v>
      </c>
      <c r="H15" s="437">
        <f>'附表2 投资计划与资金筹措平衡表 '!G21</f>
        <v>0</v>
      </c>
      <c r="I15" s="437">
        <f>'附表2 投资计划与资金筹措平衡表 '!H21</f>
        <v>0</v>
      </c>
      <c r="J15" s="437">
        <f>'附表2 投资计划与资金筹措平衡表 '!I21</f>
        <v>0</v>
      </c>
      <c r="K15" s="437">
        <f>'附表2 投资计划与资金筹措平衡表 '!J21</f>
        <v>0</v>
      </c>
      <c r="L15" s="437">
        <f>'附表2 投资计划与资金筹措平衡表 '!K21</f>
        <v>0</v>
      </c>
      <c r="M15" s="437">
        <f>'附表2 投资计划与资金筹措平衡表 '!L21</f>
        <v>0</v>
      </c>
      <c r="N15" s="437">
        <f>'附表2 投资计划与资金筹措平衡表 '!M21</f>
        <v>0</v>
      </c>
      <c r="O15" s="437"/>
      <c r="P15" s="437"/>
      <c r="Q15" s="437"/>
      <c r="R15" s="437"/>
      <c r="S15" s="437"/>
      <c r="T15" s="437"/>
      <c r="U15" s="437"/>
      <c r="V15" s="437"/>
      <c r="W15" s="437"/>
      <c r="X15" s="437"/>
    </row>
    <row r="16" spans="2:24" s="261" customFormat="1" ht="18" customHeight="1">
      <c r="B16" s="262">
        <v>2.2000000000000002</v>
      </c>
      <c r="C16" s="264" t="s">
        <v>739</v>
      </c>
      <c r="D16" s="438">
        <f t="shared" si="1"/>
        <v>0</v>
      </c>
      <c r="E16" s="437"/>
      <c r="F16" s="437"/>
      <c r="G16" s="437"/>
      <c r="H16" s="437"/>
      <c r="I16" s="437"/>
      <c r="J16" s="437"/>
      <c r="K16" s="437"/>
      <c r="L16" s="437"/>
      <c r="M16" s="437"/>
      <c r="N16" s="437"/>
      <c r="O16" s="437"/>
      <c r="P16" s="437"/>
      <c r="Q16" s="437"/>
      <c r="R16" s="437"/>
      <c r="S16" s="437"/>
      <c r="T16" s="437"/>
      <c r="U16" s="437"/>
      <c r="V16" s="437"/>
      <c r="W16" s="437"/>
      <c r="X16" s="437"/>
    </row>
    <row r="17" spans="2:24" s="261" customFormat="1" ht="18" customHeight="1">
      <c r="B17" s="262">
        <v>2.2999999999999998</v>
      </c>
      <c r="C17" s="264" t="s">
        <v>762</v>
      </c>
      <c r="D17" s="438">
        <f t="shared" si="1"/>
        <v>0</v>
      </c>
      <c r="E17" s="437"/>
      <c r="F17" s="437"/>
      <c r="G17" s="437"/>
      <c r="H17" s="437"/>
      <c r="I17" s="437"/>
      <c r="J17" s="437"/>
      <c r="K17" s="437"/>
      <c r="L17" s="437"/>
      <c r="M17" s="437"/>
      <c r="N17" s="437"/>
      <c r="O17" s="437"/>
      <c r="P17" s="437"/>
      <c r="Q17" s="437"/>
      <c r="R17" s="437"/>
      <c r="S17" s="437"/>
      <c r="T17" s="437"/>
      <c r="U17" s="437"/>
      <c r="V17" s="437"/>
      <c r="W17" s="437"/>
      <c r="X17" s="437"/>
    </row>
    <row r="18" spans="2:24" s="261" customFormat="1" ht="18" customHeight="1">
      <c r="B18" s="262">
        <v>2.4</v>
      </c>
      <c r="C18" s="264" t="s">
        <v>761</v>
      </c>
      <c r="D18" s="438">
        <f t="shared" si="1"/>
        <v>0</v>
      </c>
      <c r="E18" s="437"/>
      <c r="F18" s="437"/>
      <c r="G18" s="437"/>
      <c r="H18" s="437"/>
      <c r="I18" s="437"/>
      <c r="J18" s="437"/>
      <c r="K18" s="437"/>
      <c r="L18" s="437"/>
      <c r="M18" s="437"/>
      <c r="N18" s="437"/>
      <c r="O18" s="437"/>
      <c r="P18" s="437"/>
      <c r="Q18" s="437"/>
      <c r="R18" s="437"/>
      <c r="S18" s="437"/>
      <c r="T18" s="437"/>
      <c r="U18" s="437"/>
      <c r="V18" s="437"/>
      <c r="W18" s="437"/>
      <c r="X18" s="437"/>
    </row>
    <row r="19" spans="2:24" s="261" customFormat="1" ht="18" customHeight="1">
      <c r="B19" s="262">
        <v>2.5</v>
      </c>
      <c r="C19" s="264" t="s">
        <v>743</v>
      </c>
      <c r="D19" s="438">
        <f t="shared" si="1"/>
        <v>43717.550000000017</v>
      </c>
      <c r="E19" s="437">
        <f>'附表7 银行贷款还本付息表'!E7</f>
        <v>0</v>
      </c>
      <c r="F19" s="437">
        <f>'附表7 银行贷款还本付息表'!F7</f>
        <v>8743.510000000002</v>
      </c>
      <c r="G19" s="437">
        <f>'附表7 银行贷款还本付息表'!G7</f>
        <v>4371.755000000001</v>
      </c>
      <c r="H19" s="437">
        <f>'附表7 银行贷款还本付息表'!H7</f>
        <v>4371.755000000001</v>
      </c>
      <c r="I19" s="437">
        <f>'附表7 银行贷款还本付息表'!I7</f>
        <v>4371.755000000001</v>
      </c>
      <c r="J19" s="437">
        <f>'附表7 银行贷款还本付息表'!J7</f>
        <v>4371.755000000001</v>
      </c>
      <c r="K19" s="437">
        <f>'附表7 银行贷款还本付息表'!K7</f>
        <v>4371.755000000001</v>
      </c>
      <c r="L19" s="437">
        <f>'附表7 银行贷款还本付息表'!L7</f>
        <v>4371.755000000001</v>
      </c>
      <c r="M19" s="437">
        <f>'附表7 银行贷款还本付息表'!M7</f>
        <v>4371.755000000001</v>
      </c>
      <c r="N19" s="437">
        <f>'附表7 银行贷款还本付息表'!N7</f>
        <v>4371.755000000001</v>
      </c>
      <c r="O19" s="437">
        <f>'附表7 银行贷款还本付息表'!O7</f>
        <v>0</v>
      </c>
      <c r="P19" s="437">
        <f>'附表7 银行贷款还本付息表'!P7</f>
        <v>0</v>
      </c>
      <c r="Q19" s="437">
        <f>'附表7 银行贷款还本付息表'!Q7</f>
        <v>0</v>
      </c>
      <c r="R19" s="437">
        <f>'附表7 银行贷款还本付息表'!R7</f>
        <v>0</v>
      </c>
      <c r="S19" s="437">
        <f>'附表7 银行贷款还本付息表'!S7</f>
        <v>0</v>
      </c>
      <c r="T19" s="437">
        <f>'附表7 银行贷款还本付息表'!T7</f>
        <v>0</v>
      </c>
      <c r="U19" s="437">
        <f>'附表7 银行贷款还本付息表'!U7</f>
        <v>0</v>
      </c>
      <c r="V19" s="437">
        <f>'附表7 银行贷款还本付息表'!V7</f>
        <v>0</v>
      </c>
      <c r="W19" s="437">
        <f>'附表7 银行贷款还本付息表'!W7</f>
        <v>0</v>
      </c>
      <c r="X19" s="437">
        <f>'附表7 银行贷款还本付息表'!X7</f>
        <v>0</v>
      </c>
    </row>
    <row r="20" spans="2:24" s="261" customFormat="1" ht="18" customHeight="1">
      <c r="B20" s="259">
        <v>3</v>
      </c>
      <c r="C20" s="260" t="s">
        <v>215</v>
      </c>
      <c r="D20" s="438">
        <f t="shared" si="1"/>
        <v>6900.4558502374275</v>
      </c>
      <c r="E20" s="436">
        <f t="shared" ref="E20:X20" si="4">E4-E12</f>
        <v>0</v>
      </c>
      <c r="F20" s="436">
        <f t="shared" si="4"/>
        <v>-8677.933675000002</v>
      </c>
      <c r="G20" s="436">
        <f t="shared" si="4"/>
        <v>-4207.814187500001</v>
      </c>
      <c r="H20" s="436">
        <f t="shared" si="4"/>
        <v>-4142.237862500001</v>
      </c>
      <c r="I20" s="436">
        <f t="shared" si="4"/>
        <v>-4076.661537500001</v>
      </c>
      <c r="J20" s="436">
        <f t="shared" si="4"/>
        <v>-4011.085212500001</v>
      </c>
      <c r="K20" s="436">
        <f t="shared" si="4"/>
        <v>-3945.508887500001</v>
      </c>
      <c r="L20" s="436">
        <f t="shared" si="4"/>
        <v>-3879.932562500001</v>
      </c>
      <c r="M20" s="436">
        <f t="shared" si="4"/>
        <v>-3814.356237500001</v>
      </c>
      <c r="N20" s="436">
        <f t="shared" si="4"/>
        <v>-3748.779912500001</v>
      </c>
      <c r="O20" s="436">
        <f t="shared" si="4"/>
        <v>4740.4765925237443</v>
      </c>
      <c r="P20" s="436">
        <f t="shared" si="4"/>
        <v>4740.4765925237443</v>
      </c>
      <c r="Q20" s="436">
        <f t="shared" si="4"/>
        <v>4740.4765925237443</v>
      </c>
      <c r="R20" s="436">
        <f t="shared" si="4"/>
        <v>4740.4765925237443</v>
      </c>
      <c r="S20" s="436">
        <f t="shared" si="4"/>
        <v>4740.4765925237443</v>
      </c>
      <c r="T20" s="436">
        <f t="shared" si="4"/>
        <v>4740.4765925237443</v>
      </c>
      <c r="U20" s="436">
        <f t="shared" si="4"/>
        <v>4740.4765925237443</v>
      </c>
      <c r="V20" s="436">
        <f t="shared" si="4"/>
        <v>4740.4765925237443</v>
      </c>
      <c r="W20" s="436">
        <f t="shared" si="4"/>
        <v>4740.4765925237443</v>
      </c>
      <c r="X20" s="436">
        <f t="shared" si="4"/>
        <v>4740.4765925237443</v>
      </c>
    </row>
    <row r="21" spans="2:24" s="261" customFormat="1" ht="18" customHeight="1">
      <c r="B21" s="266">
        <v>4</v>
      </c>
      <c r="C21" s="54" t="s">
        <v>315</v>
      </c>
      <c r="D21" s="437"/>
      <c r="E21" s="437">
        <f>E20</f>
        <v>0</v>
      </c>
      <c r="F21" s="437">
        <f>E21+F20</f>
        <v>-8677.933675000002</v>
      </c>
      <c r="G21" s="437">
        <f t="shared" ref="G21:H21" si="5">F21+G20</f>
        <v>-12885.747862500004</v>
      </c>
      <c r="H21" s="437">
        <f t="shared" si="5"/>
        <v>-17027.985725000006</v>
      </c>
      <c r="I21" s="437">
        <f t="shared" ref="I21" si="6">H21+I20</f>
        <v>-21104.647262500006</v>
      </c>
      <c r="J21" s="437">
        <f t="shared" ref="J21" si="7">I21+J20</f>
        <v>-25115.732475000008</v>
      </c>
      <c r="K21" s="437">
        <f t="shared" ref="K21" si="8">J21+K20</f>
        <v>-29061.241362500008</v>
      </c>
      <c r="L21" s="437">
        <f t="shared" ref="L21" si="9">K21+L20</f>
        <v>-32941.17392500001</v>
      </c>
      <c r="M21" s="437">
        <f t="shared" ref="M21" si="10">L21+M20</f>
        <v>-36755.530162500014</v>
      </c>
      <c r="N21" s="437">
        <f t="shared" ref="N21" si="11">M21+N20</f>
        <v>-40504.310075000016</v>
      </c>
      <c r="O21" s="437">
        <f t="shared" ref="O21" si="12">N21+O20</f>
        <v>-35763.833482476271</v>
      </c>
      <c r="P21" s="437">
        <f t="shared" ref="P21" si="13">O21+P20</f>
        <v>-31023.356889952527</v>
      </c>
      <c r="Q21" s="437">
        <f t="shared" ref="Q21" si="14">P21+Q20</f>
        <v>-26282.880297428783</v>
      </c>
      <c r="R21" s="437">
        <f t="shared" ref="R21" si="15">Q21+R20</f>
        <v>-21542.403704905038</v>
      </c>
      <c r="S21" s="437">
        <f t="shared" ref="S21" si="16">R21+S20</f>
        <v>-16801.927112381294</v>
      </c>
      <c r="T21" s="437">
        <f t="shared" ref="T21" si="17">S21+T20</f>
        <v>-12061.45051985755</v>
      </c>
      <c r="U21" s="437">
        <f t="shared" ref="U21" si="18">T21+U20</f>
        <v>-7320.9739273338055</v>
      </c>
      <c r="V21" s="437">
        <f t="shared" ref="V21" si="19">U21+V20</f>
        <v>-2580.4973348100611</v>
      </c>
      <c r="W21" s="437">
        <f t="shared" ref="W21" si="20">V21+W20</f>
        <v>2159.9792577136832</v>
      </c>
      <c r="X21" s="437">
        <f t="shared" ref="X21" si="21">W21+X20</f>
        <v>6900.4558502374275</v>
      </c>
    </row>
    <row r="22" spans="2:24" s="261" customFormat="1" ht="18" customHeight="1">
      <c r="B22" s="267"/>
      <c r="C22" s="258"/>
      <c r="D22" s="268"/>
      <c r="E22" s="268"/>
      <c r="F22" s="268"/>
      <c r="G22" s="268"/>
      <c r="H22" s="268"/>
      <c r="I22" s="268"/>
      <c r="J22" s="268"/>
      <c r="K22" s="268"/>
      <c r="L22" s="268"/>
      <c r="M22" s="268"/>
      <c r="N22" s="268"/>
      <c r="O22" s="268"/>
      <c r="P22" s="268"/>
      <c r="Q22" s="268"/>
      <c r="R22" s="268"/>
      <c r="S22" s="268"/>
      <c r="T22" s="268"/>
      <c r="U22" s="268"/>
      <c r="V22" s="268"/>
      <c r="W22" s="268"/>
    </row>
    <row r="23" spans="2:24" s="261" customFormat="1" ht="18" customHeight="1" thickBot="1">
      <c r="B23" s="267"/>
      <c r="C23" s="258"/>
      <c r="D23" s="268"/>
      <c r="E23" s="268"/>
      <c r="F23" s="268"/>
      <c r="G23" s="268"/>
      <c r="H23" s="268"/>
      <c r="I23" s="268"/>
      <c r="J23" s="268"/>
      <c r="K23" s="268"/>
      <c r="L23" s="268"/>
      <c r="M23" s="268"/>
      <c r="N23" s="269"/>
      <c r="O23" s="268"/>
      <c r="P23" s="269"/>
      <c r="Q23" s="269"/>
      <c r="R23" s="269"/>
      <c r="S23" s="269"/>
      <c r="T23" s="268"/>
      <c r="U23" s="268"/>
      <c r="V23" s="268"/>
      <c r="W23" s="268"/>
    </row>
    <row r="24" spans="2:24" s="261" customFormat="1" ht="12">
      <c r="C24" s="355" t="s">
        <v>317</v>
      </c>
      <c r="D24" s="356">
        <f>(1+IRR(E20:X20))^4-1</f>
        <v>6.4778846444670135E-2</v>
      </c>
      <c r="E24" s="356" t="str">
        <f>IF(D24&gt;=13%,"可行","不可行")</f>
        <v>不可行</v>
      </c>
      <c r="F24" s="277"/>
      <c r="G24" s="277"/>
      <c r="H24" s="277"/>
      <c r="I24" s="277"/>
      <c r="J24" s="277"/>
      <c r="K24" s="277"/>
      <c r="L24" s="277"/>
      <c r="M24" s="269"/>
      <c r="N24" s="269"/>
      <c r="O24" s="269"/>
      <c r="P24" s="269"/>
      <c r="Q24" s="269"/>
      <c r="R24" s="269"/>
      <c r="S24" s="269"/>
    </row>
    <row r="25" spans="2:24" s="261" customFormat="1" ht="12">
      <c r="C25" s="278" t="s">
        <v>318</v>
      </c>
      <c r="D25" s="351">
        <f>(COUNTIF(E21:X21,"&lt;0")+ABS(INDEX(E21:X21,1,COUNTIF(E21:X21,"&lt;0")))/(INDEX(E21:X21,1,COUNTIF(E21:X21,"&lt;0")+1)+ABS(INDEX(E21:X21,1,COUNTIF(E21:X21,"&lt;0")))))/4</f>
        <v>4.6360884968232829</v>
      </c>
      <c r="E25" s="275"/>
      <c r="F25" s="276"/>
      <c r="G25" s="276"/>
      <c r="H25" s="276"/>
      <c r="I25" s="276"/>
      <c r="J25" s="276"/>
      <c r="K25" s="276"/>
      <c r="L25" s="276"/>
      <c r="M25" s="269"/>
      <c r="N25" s="269"/>
      <c r="O25" s="269"/>
      <c r="P25" s="269"/>
      <c r="Q25" s="269"/>
      <c r="R25" s="269"/>
      <c r="S25" s="269"/>
    </row>
    <row r="26" spans="2:24" s="261" customFormat="1" ht="18" customHeight="1">
      <c r="C26" s="278" t="s">
        <v>394</v>
      </c>
      <c r="D26" s="275">
        <f>NPV(1.5%,E20:X20)</f>
        <v>301.90109246403813</v>
      </c>
      <c r="E26" s="283" t="str">
        <f>IF(D26&gt;0,"可行","不可行")</f>
        <v>可行</v>
      </c>
      <c r="F26" s="49"/>
      <c r="G26" s="49"/>
      <c r="H26" s="49"/>
      <c r="I26" s="49"/>
      <c r="J26" s="49"/>
      <c r="K26" s="49"/>
      <c r="L26" s="49"/>
      <c r="M26" s="269"/>
      <c r="N26" s="269"/>
      <c r="O26" s="269"/>
      <c r="P26" s="269"/>
      <c r="Q26" s="269"/>
      <c r="R26" s="269"/>
      <c r="S26" s="269"/>
    </row>
    <row r="27" spans="2:24" ht="18" customHeight="1" thickBot="1">
      <c r="C27" s="357" t="s">
        <v>40</v>
      </c>
      <c r="D27" s="358">
        <f>D20</f>
        <v>6900.4558502374275</v>
      </c>
      <c r="E27" s="358"/>
      <c r="M27" s="269"/>
      <c r="N27" s="269"/>
      <c r="O27" s="269"/>
      <c r="P27" s="269"/>
      <c r="Q27" s="269"/>
      <c r="R27" s="269"/>
      <c r="S27" s="269"/>
    </row>
    <row r="28" spans="2:24" ht="18" customHeight="1">
      <c r="C28" s="353"/>
      <c r="D28" s="354"/>
      <c r="M28" s="269"/>
      <c r="N28" s="269"/>
      <c r="O28" s="269"/>
      <c r="P28" s="269"/>
      <c r="Q28" s="269"/>
      <c r="R28" s="269"/>
      <c r="S28" s="269"/>
    </row>
    <row r="29" spans="2:24" ht="18" customHeight="1">
      <c r="C29" s="269"/>
      <c r="D29" s="269"/>
    </row>
    <row r="30" spans="2:24" ht="18" customHeight="1">
      <c r="C30" s="269"/>
      <c r="D30" s="269"/>
      <c r="R30" s="282"/>
    </row>
    <row r="31" spans="2:24" ht="18" customHeight="1">
      <c r="B31" s="469" t="s">
        <v>554</v>
      </c>
      <c r="C31" s="470"/>
      <c r="D31"/>
      <c r="R31" s="282"/>
    </row>
    <row r="32" spans="2:24" ht="18" customHeight="1">
      <c r="B32" s="476"/>
      <c r="C32" s="476"/>
      <c r="R32" s="282"/>
    </row>
    <row r="33" spans="2:18" ht="18" customHeight="1">
      <c r="B33" s="476"/>
      <c r="C33" s="476"/>
      <c r="R33" s="282"/>
    </row>
    <row r="34" spans="2:18" ht="18" customHeight="1">
      <c r="R34" s="282"/>
    </row>
    <row r="35" spans="2:18" ht="18" customHeight="1">
      <c r="R35" s="282"/>
    </row>
    <row r="36" spans="2:18" ht="18" customHeight="1">
      <c r="R36" s="282"/>
    </row>
    <row r="37" spans="2:18" ht="18" customHeight="1">
      <c r="R37" s="282"/>
    </row>
  </sheetData>
  <mergeCells count="1">
    <mergeCell ref="B2:X2"/>
  </mergeCells>
  <phoneticPr fontId="27" type="noConversion"/>
  <hyperlinks>
    <hyperlink ref="B31" location="目录!A1" display="点击返回目录"/>
  </hyperlinks>
  <pageMargins left="0.69930555555555596" right="0.69930555555555596" top="0.75" bottom="0.75" header="0.3" footer="0.3"/>
  <pageSetup paperSize="9" scale="2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1E3EA"/>
  </sheetPr>
  <dimension ref="A2:X79"/>
  <sheetViews>
    <sheetView topLeftCell="A14" zoomScale="80" zoomScaleNormal="80" workbookViewId="0"/>
  </sheetViews>
  <sheetFormatPr defaultRowHeight="14"/>
  <cols>
    <col min="1" max="1" width="1.90625" customWidth="1"/>
    <col min="2" max="2" width="6.453125" customWidth="1"/>
    <col min="3" max="3" width="16.453125" customWidth="1"/>
    <col min="4" max="4" width="13.36328125" bestFit="1" customWidth="1"/>
    <col min="5" max="5" width="12" customWidth="1"/>
    <col min="6" max="6" width="11.36328125" bestFit="1" customWidth="1"/>
    <col min="7" max="7" width="12.453125" bestFit="1" customWidth="1"/>
    <col min="8" max="9" width="10.26953125" bestFit="1" customWidth="1"/>
    <col min="10" max="13" width="11.36328125" bestFit="1" customWidth="1"/>
    <col min="14" max="17" width="10.6328125" bestFit="1" customWidth="1"/>
    <col min="18" max="24" width="10.26953125" bestFit="1" customWidth="1"/>
  </cols>
  <sheetData>
    <row r="2" spans="1:24" ht="23">
      <c r="A2" s="52"/>
      <c r="B2" s="790" t="s">
        <v>769</v>
      </c>
      <c r="C2" s="791"/>
      <c r="D2" s="791"/>
      <c r="E2" s="791"/>
      <c r="F2" s="791"/>
      <c r="G2" s="791"/>
      <c r="H2" s="791"/>
      <c r="I2" s="791"/>
      <c r="J2" s="791"/>
      <c r="K2" s="791"/>
      <c r="L2" s="791"/>
      <c r="M2" s="791"/>
      <c r="N2" s="791"/>
      <c r="O2" s="791"/>
      <c r="P2" s="791"/>
      <c r="Q2" s="791"/>
      <c r="R2" s="791"/>
      <c r="S2" s="791"/>
      <c r="T2" s="791"/>
      <c r="U2" s="791"/>
      <c r="V2" s="791"/>
      <c r="W2" s="791"/>
      <c r="X2" s="791"/>
    </row>
    <row r="3" spans="1:24">
      <c r="A3" s="353"/>
      <c r="B3" s="520" t="s">
        <v>324</v>
      </c>
      <c r="C3" s="520" t="s">
        <v>379</v>
      </c>
      <c r="D3" s="521" t="s">
        <v>497</v>
      </c>
      <c r="E3" s="484" t="s">
        <v>477</v>
      </c>
      <c r="F3" s="484" t="s">
        <v>478</v>
      </c>
      <c r="G3" s="484" t="s">
        <v>479</v>
      </c>
      <c r="H3" s="484" t="s">
        <v>480</v>
      </c>
      <c r="I3" s="484" t="s">
        <v>481</v>
      </c>
      <c r="J3" s="484" t="s">
        <v>482</v>
      </c>
      <c r="K3" s="484" t="s">
        <v>483</v>
      </c>
      <c r="L3" s="484" t="s">
        <v>484</v>
      </c>
      <c r="M3" s="484" t="s">
        <v>485</v>
      </c>
      <c r="N3" s="484" t="s">
        <v>486</v>
      </c>
      <c r="O3" s="484" t="s">
        <v>487</v>
      </c>
      <c r="P3" s="484" t="s">
        <v>488</v>
      </c>
      <c r="Q3" s="484" t="s">
        <v>489</v>
      </c>
      <c r="R3" s="484" t="s">
        <v>490</v>
      </c>
      <c r="S3" s="484" t="s">
        <v>491</v>
      </c>
      <c r="T3" s="484" t="s">
        <v>492</v>
      </c>
      <c r="U3" s="484" t="s">
        <v>493</v>
      </c>
      <c r="V3" s="484" t="s">
        <v>494</v>
      </c>
      <c r="W3" s="484" t="s">
        <v>495</v>
      </c>
      <c r="X3" s="484" t="s">
        <v>496</v>
      </c>
    </row>
    <row r="4" spans="1:24">
      <c r="A4" s="261"/>
      <c r="B4" s="259">
        <v>1</v>
      </c>
      <c r="C4" s="260" t="s">
        <v>196</v>
      </c>
      <c r="D4" s="436">
        <f ca="1">SUM(E4:X4)</f>
        <v>16534.275023167545</v>
      </c>
      <c r="E4" s="436">
        <f t="shared" ref="E4:X4" ca="1" si="0">SUM(E5:E7,E10,E11)</f>
        <v>0</v>
      </c>
      <c r="F4" s="436">
        <f t="shared" ca="1" si="0"/>
        <v>-100</v>
      </c>
      <c r="G4" s="436">
        <f t="shared" ca="1" si="0"/>
        <v>-100</v>
      </c>
      <c r="H4" s="436">
        <f t="shared" ca="1" si="0"/>
        <v>5348.0864445018769</v>
      </c>
      <c r="I4" s="436">
        <f t="shared" ca="1" si="0"/>
        <v>1424.0750293995266</v>
      </c>
      <c r="J4" s="436">
        <f t="shared" ca="1" si="0"/>
        <v>987.82525440861991</v>
      </c>
      <c r="K4" s="436">
        <f t="shared" ca="1" si="0"/>
        <v>-1857.379949585782</v>
      </c>
      <c r="L4" s="436">
        <f t="shared" ca="1" si="0"/>
        <v>-2032.4608250875899</v>
      </c>
      <c r="M4" s="436">
        <f t="shared" ca="1" si="0"/>
        <v>-2102.493175288314</v>
      </c>
      <c r="N4" s="436">
        <f t="shared" ca="1" si="0"/>
        <v>-2137.5093503886756</v>
      </c>
      <c r="O4" s="436">
        <f t="shared" ca="1" si="0"/>
        <v>817.57381219736635</v>
      </c>
      <c r="P4" s="436">
        <f t="shared" ca="1" si="0"/>
        <v>872.71744232143681</v>
      </c>
      <c r="Q4" s="436">
        <f t="shared" ca="1" si="0"/>
        <v>928.68822689736851</v>
      </c>
      <c r="R4" s="436">
        <f t="shared" ca="1" si="0"/>
        <v>985.49857324193886</v>
      </c>
      <c r="S4" s="436">
        <f t="shared" ca="1" si="0"/>
        <v>1059.5654224972102</v>
      </c>
      <c r="T4" s="436">
        <f t="shared" ca="1" si="0"/>
        <v>1224.0983487161259</v>
      </c>
      <c r="U4" s="436">
        <f t="shared" ca="1" si="0"/>
        <v>1290.1042938814344</v>
      </c>
      <c r="V4" s="436">
        <f t="shared" ca="1" si="0"/>
        <v>1357.1003282242227</v>
      </c>
      <c r="W4" s="436">
        <f t="shared" ca="1" si="0"/>
        <v>1425.1013030821528</v>
      </c>
      <c r="X4" s="436">
        <f t="shared" ca="1" si="0"/>
        <v>7143.6838441486261</v>
      </c>
    </row>
    <row r="5" spans="1:24">
      <c r="A5" s="261"/>
      <c r="B5" s="262">
        <v>1.1000000000000001</v>
      </c>
      <c r="C5" s="54" t="s">
        <v>429</v>
      </c>
      <c r="D5" s="438">
        <f ca="1">SUM(E5:X5)</f>
        <v>-3624.3407687300605</v>
      </c>
      <c r="E5" s="437">
        <f ca="1">附表9利润表!D17</f>
        <v>0</v>
      </c>
      <c r="F5" s="437">
        <f ca="1">附表9利润表!E17</f>
        <v>-100</v>
      </c>
      <c r="G5" s="437">
        <f ca="1">附表9利润表!F17</f>
        <v>-100</v>
      </c>
      <c r="H5" s="437">
        <f ca="1">附表9利润表!G17</f>
        <v>-2602.565745742766</v>
      </c>
      <c r="I5" s="437">
        <f ca="1">附表9利润表!H17</f>
        <v>-1962.4284748868686</v>
      </c>
      <c r="J5" s="437">
        <f ca="1">附表9利润表!I17</f>
        <v>-1962.4284748868686</v>
      </c>
      <c r="K5" s="437">
        <f ca="1">附表9利润表!J17</f>
        <v>-1857.379949585782</v>
      </c>
      <c r="L5" s="437">
        <f ca="1">附表9利润表!K17</f>
        <v>-2032.4608250875899</v>
      </c>
      <c r="M5" s="437">
        <f ca="1">附表9利润表!L17</f>
        <v>-2102.493175288314</v>
      </c>
      <c r="N5" s="437">
        <f ca="1">附表9利润表!M17</f>
        <v>-2137.5093503886756</v>
      </c>
      <c r="O5" s="437">
        <f ca="1">附表9利润表!N17</f>
        <v>817.57381219736635</v>
      </c>
      <c r="P5" s="437">
        <f ca="1">附表9利润表!O17</f>
        <v>872.71744232143681</v>
      </c>
      <c r="Q5" s="437">
        <f ca="1">附表9利润表!P17</f>
        <v>928.68822689736851</v>
      </c>
      <c r="R5" s="437">
        <f ca="1">附表9利润表!Q17</f>
        <v>985.49857324193886</v>
      </c>
      <c r="S5" s="437">
        <f ca="1">附表9利润表!R17</f>
        <v>1059.5654224972102</v>
      </c>
      <c r="T5" s="437">
        <f ca="1">附表9利润表!S17</f>
        <v>1224.0983487161259</v>
      </c>
      <c r="U5" s="437">
        <f ca="1">附表9利润表!T17</f>
        <v>1290.1042938814344</v>
      </c>
      <c r="V5" s="437">
        <f ca="1">附表9利润表!U17</f>
        <v>1357.1003282242227</v>
      </c>
      <c r="W5" s="437">
        <f ca="1">附表9利润表!V17</f>
        <v>1425.1013030821528</v>
      </c>
      <c r="X5" s="437">
        <f ca="1">附表9利润表!W17</f>
        <v>1272.4774760775472</v>
      </c>
    </row>
    <row r="6" spans="1:24">
      <c r="A6" s="261"/>
      <c r="B6" s="262">
        <v>1.2</v>
      </c>
      <c r="C6" s="54" t="s">
        <v>214</v>
      </c>
      <c r="D6" s="438">
        <f ca="1">SUM(E6:X6)</f>
        <v>20158.615791897606</v>
      </c>
      <c r="E6" s="437">
        <f>'附表11 财务计划现金流量表'!E29*'0基本假设 '!$N$14</f>
        <v>0</v>
      </c>
      <c r="F6" s="437">
        <f>'附表11 财务计划现金流量表'!F29*'0基本假设 '!$N$14</f>
        <v>0</v>
      </c>
      <c r="G6" s="437">
        <f ca="1">'附表11 财务计划现金流量表'!G29*'0基本假设 '!$N$14</f>
        <v>0</v>
      </c>
      <c r="H6" s="437">
        <f ca="1">'附表11 财务计划现金流量表'!H29*'0基本假设 '!$N$14</f>
        <v>7950.652190244643</v>
      </c>
      <c r="I6" s="437">
        <f ca="1">'附表11 财务计划现金流量表'!I29*'0基本假设 '!$N$14</f>
        <v>3386.5035042863951</v>
      </c>
      <c r="J6" s="437">
        <f>'附表11 财务计划现金流量表'!J29*'0基本假设 '!$N$14</f>
        <v>2950.2537292954885</v>
      </c>
      <c r="K6" s="437">
        <f>'附表11 财务计划现金流量表'!K29*'0基本假设 '!$N$14</f>
        <v>0</v>
      </c>
      <c r="L6" s="437">
        <f>'附表11 财务计划现金流量表'!L29*'0基本假设 '!$N$14</f>
        <v>0</v>
      </c>
      <c r="M6" s="437">
        <f>'附表11 财务计划现金流量表'!M29*'0基本假设 '!$N$14</f>
        <v>0</v>
      </c>
      <c r="N6" s="437">
        <f>'附表11 财务计划现金流量表'!N29*'0基本假设 '!$N$14</f>
        <v>0</v>
      </c>
      <c r="O6" s="437">
        <f>'附表11 财务计划现金流量表'!O29*'0基本假设 '!$N$14</f>
        <v>0</v>
      </c>
      <c r="P6" s="437">
        <f>'附表11 财务计划现金流量表'!P29*'0基本假设 '!$N$14</f>
        <v>0</v>
      </c>
      <c r="Q6" s="437">
        <f>'附表11 财务计划现金流量表'!Q29*'0基本假设 '!$N$14</f>
        <v>0</v>
      </c>
      <c r="R6" s="437">
        <f>'附表11 财务计划现金流量表'!R29*'0基本假设 '!$N$14</f>
        <v>0</v>
      </c>
      <c r="S6" s="437">
        <f>'附表11 财务计划现金流量表'!S29*'0基本假设 '!$N$14</f>
        <v>0</v>
      </c>
      <c r="T6" s="437">
        <f>'附表11 财务计划现金流量表'!T29*'0基本假设 '!$N$14</f>
        <v>0</v>
      </c>
      <c r="U6" s="437">
        <f>'附表11 财务计划现金流量表'!U29*'0基本假设 '!$N$14</f>
        <v>0</v>
      </c>
      <c r="V6" s="437">
        <f>'附表11 财务计划现金流量表'!V29*'0基本假设 '!$N$14</f>
        <v>0</v>
      </c>
      <c r="W6" s="437">
        <f>'附表11 财务计划现金流量表'!W29*'0基本假设 '!$N$14</f>
        <v>0</v>
      </c>
      <c r="X6" s="437">
        <f ca="1">'附表11 财务计划现金流量表'!X29*'0基本假设 '!$N$14</f>
        <v>5871.2063680710789</v>
      </c>
    </row>
    <row r="7" spans="1:24">
      <c r="A7" s="261"/>
      <c r="B7" s="262">
        <v>1.3</v>
      </c>
      <c r="C7" s="263" t="s">
        <v>742</v>
      </c>
      <c r="D7" s="438">
        <f>SUM(E7:X7)</f>
        <v>0</v>
      </c>
      <c r="E7" s="437"/>
      <c r="F7" s="437"/>
      <c r="G7" s="437"/>
      <c r="H7" s="437"/>
      <c r="I7" s="437"/>
      <c r="J7" s="437"/>
      <c r="K7" s="437"/>
      <c r="L7" s="437"/>
      <c r="M7" s="437"/>
      <c r="N7" s="437"/>
      <c r="O7" s="437"/>
      <c r="P7" s="437"/>
      <c r="Q7" s="437"/>
      <c r="R7" s="437"/>
      <c r="S7" s="437"/>
      <c r="T7" s="437"/>
      <c r="U7" s="437"/>
      <c r="V7" s="437"/>
      <c r="W7" s="437"/>
      <c r="X7" s="437"/>
    </row>
    <row r="8" spans="1:24" hidden="1">
      <c r="A8" s="261"/>
      <c r="B8" s="262"/>
      <c r="C8" s="263"/>
      <c r="D8" s="438"/>
      <c r="E8" s="437"/>
      <c r="F8" s="437"/>
      <c r="G8" s="437"/>
      <c r="H8" s="437"/>
      <c r="I8" s="437"/>
      <c r="J8" s="437"/>
      <c r="K8" s="437"/>
      <c r="L8" s="437"/>
      <c r="M8" s="437"/>
      <c r="N8" s="437"/>
      <c r="O8" s="437"/>
      <c r="P8" s="437"/>
      <c r="Q8" s="437"/>
      <c r="R8" s="437"/>
      <c r="S8" s="437"/>
      <c r="T8" s="437"/>
      <c r="U8" s="437"/>
      <c r="V8" s="437"/>
      <c r="W8" s="437"/>
      <c r="X8" s="437"/>
    </row>
    <row r="9" spans="1:24" hidden="1">
      <c r="A9" s="261"/>
      <c r="B9" s="262"/>
      <c r="C9" s="263"/>
      <c r="D9" s="438"/>
      <c r="E9" s="437"/>
      <c r="F9" s="437"/>
      <c r="G9" s="437"/>
      <c r="H9" s="437"/>
      <c r="I9" s="437"/>
      <c r="J9" s="437"/>
      <c r="K9" s="437"/>
      <c r="L9" s="437"/>
      <c r="M9" s="437"/>
      <c r="N9" s="437"/>
      <c r="O9" s="437"/>
      <c r="P9" s="437"/>
      <c r="Q9" s="437"/>
      <c r="R9" s="437"/>
      <c r="S9" s="437"/>
      <c r="T9" s="437"/>
      <c r="U9" s="437"/>
      <c r="V9" s="437"/>
      <c r="W9" s="437"/>
      <c r="X9" s="437"/>
    </row>
    <row r="10" spans="1:24">
      <c r="A10" s="261"/>
      <c r="B10" s="262">
        <v>1.4</v>
      </c>
      <c r="C10" s="264" t="s">
        <v>431</v>
      </c>
      <c r="D10" s="438">
        <f>SUM(E10:X10)</f>
        <v>0</v>
      </c>
      <c r="E10" s="437"/>
      <c r="F10" s="437"/>
      <c r="G10" s="437"/>
      <c r="H10" s="437"/>
      <c r="I10" s="437"/>
      <c r="J10" s="437"/>
      <c r="K10" s="437"/>
      <c r="L10" s="437"/>
      <c r="M10" s="437"/>
      <c r="N10" s="437"/>
      <c r="O10" s="437"/>
      <c r="P10" s="437"/>
      <c r="Q10" s="437"/>
      <c r="R10" s="437"/>
      <c r="S10" s="437"/>
      <c r="T10" s="437"/>
      <c r="U10" s="437"/>
      <c r="V10" s="437"/>
      <c r="W10" s="437"/>
      <c r="X10" s="437"/>
    </row>
    <row r="11" spans="1:24">
      <c r="A11" s="261"/>
      <c r="B11" s="262">
        <v>1.5</v>
      </c>
      <c r="C11" s="264" t="s">
        <v>570</v>
      </c>
      <c r="D11" s="438"/>
      <c r="E11" s="437"/>
      <c r="F11" s="437"/>
      <c r="G11" s="437"/>
      <c r="H11" s="437"/>
      <c r="I11" s="437"/>
      <c r="J11" s="437"/>
      <c r="K11" s="437"/>
      <c r="L11" s="437"/>
      <c r="M11" s="437"/>
      <c r="N11" s="437"/>
      <c r="O11" s="437"/>
      <c r="P11" s="437"/>
      <c r="Q11" s="437"/>
      <c r="R11" s="437"/>
      <c r="S11" s="437"/>
      <c r="T11" s="437"/>
      <c r="U11" s="437"/>
      <c r="V11" s="437"/>
      <c r="W11" s="437"/>
      <c r="X11" s="437"/>
    </row>
    <row r="12" spans="1:24">
      <c r="A12" s="261"/>
      <c r="B12" s="259">
        <v>2</v>
      </c>
      <c r="C12" s="260" t="s">
        <v>197</v>
      </c>
      <c r="D12" s="438">
        <f t="shared" ref="D12:D20" ca="1" si="1">SUM(E12:X12)</f>
        <v>26240.039403418497</v>
      </c>
      <c r="E12" s="436">
        <f ca="1">SUM(E13,E16:E19)</f>
        <v>19730.658809478238</v>
      </c>
      <c r="F12" s="436">
        <f t="shared" ref="F12:X12" ca="1" si="2">SUM(F13,F16:F19)</f>
        <v>770.80288143921962</v>
      </c>
      <c r="G12" s="436">
        <f t="shared" ca="1" si="2"/>
        <v>802.00720359804905</v>
      </c>
      <c r="H12" s="436">
        <f t="shared" ca="1" si="2"/>
        <v>524.66062790309468</v>
      </c>
      <c r="I12" s="436">
        <f t="shared" ca="1" si="2"/>
        <v>418.46962793157456</v>
      </c>
      <c r="J12" s="436">
        <f t="shared" ca="1" si="2"/>
        <v>328.63799452221343</v>
      </c>
      <c r="K12" s="436">
        <f t="shared" ca="1" si="2"/>
        <v>349.44087596143311</v>
      </c>
      <c r="L12" s="436">
        <f t="shared" ca="1" si="2"/>
        <v>370.24375740065278</v>
      </c>
      <c r="M12" s="436">
        <f t="shared" ca="1" si="2"/>
        <v>391.04663883987246</v>
      </c>
      <c r="N12" s="436">
        <f t="shared" ca="1" si="2"/>
        <v>411.84952027909219</v>
      </c>
      <c r="O12" s="436">
        <f t="shared" ca="1" si="2"/>
        <v>214.22214660650519</v>
      </c>
      <c r="P12" s="436">
        <f t="shared" ca="1" si="2"/>
        <v>214.22214660650519</v>
      </c>
      <c r="Q12" s="436">
        <f t="shared" ca="1" si="2"/>
        <v>214.22214660650519</v>
      </c>
      <c r="R12" s="436">
        <f t="shared" ca="1" si="2"/>
        <v>214.22214660650519</v>
      </c>
      <c r="S12" s="436">
        <f t="shared" ca="1" si="2"/>
        <v>214.22214660650519</v>
      </c>
      <c r="T12" s="436">
        <f t="shared" ca="1" si="2"/>
        <v>214.22214660650519</v>
      </c>
      <c r="U12" s="436">
        <f t="shared" ca="1" si="2"/>
        <v>214.22214660650519</v>
      </c>
      <c r="V12" s="436">
        <f t="shared" ca="1" si="2"/>
        <v>214.22214660650519</v>
      </c>
      <c r="W12" s="436">
        <f t="shared" ca="1" si="2"/>
        <v>214.22214660650519</v>
      </c>
      <c r="X12" s="436">
        <f t="shared" ca="1" si="2"/>
        <v>214.22214660650519</v>
      </c>
    </row>
    <row r="13" spans="1:24">
      <c r="A13" s="261"/>
      <c r="B13" s="262">
        <v>2.1</v>
      </c>
      <c r="C13" s="264" t="s">
        <v>430</v>
      </c>
      <c r="D13" s="438">
        <f t="shared" si="1"/>
        <v>20000.000000000004</v>
      </c>
      <c r="E13" s="437">
        <f>SUM(E14:E15)</f>
        <v>18980.658809478238</v>
      </c>
      <c r="F13" s="437">
        <f t="shared" ref="F13:N13" si="3">SUM(F14:F15)</f>
        <v>20.802881439219679</v>
      </c>
      <c r="G13" s="437">
        <f t="shared" si="3"/>
        <v>52.007203598049195</v>
      </c>
      <c r="H13" s="437">
        <f t="shared" si="3"/>
        <v>72.810085037268877</v>
      </c>
      <c r="I13" s="437">
        <f t="shared" si="3"/>
        <v>93.612966476488552</v>
      </c>
      <c r="J13" s="437">
        <f t="shared" si="3"/>
        <v>114.41584791570823</v>
      </c>
      <c r="K13" s="437">
        <f t="shared" si="3"/>
        <v>135.21872935492792</v>
      </c>
      <c r="L13" s="437">
        <f t="shared" si="3"/>
        <v>156.02161079414759</v>
      </c>
      <c r="M13" s="437">
        <f t="shared" si="3"/>
        <v>176.82449223336727</v>
      </c>
      <c r="N13" s="437">
        <f t="shared" si="3"/>
        <v>197.62737367258697</v>
      </c>
      <c r="O13" s="437"/>
      <c r="P13" s="437"/>
      <c r="Q13" s="437"/>
      <c r="R13" s="437"/>
      <c r="S13" s="437"/>
      <c r="T13" s="437"/>
      <c r="U13" s="437"/>
      <c r="V13" s="437"/>
      <c r="W13" s="437"/>
      <c r="X13" s="437"/>
    </row>
    <row r="14" spans="1:24">
      <c r="A14" s="261"/>
      <c r="B14" s="262"/>
      <c r="C14" s="265" t="s">
        <v>15</v>
      </c>
      <c r="D14" s="438">
        <f t="shared" si="1"/>
        <v>20000.000000000004</v>
      </c>
      <c r="E14" s="437">
        <f>'附表2 投资计划与资金筹措平衡表 '!D12*'0基本假设 '!$N$14</f>
        <v>18980.658809478238</v>
      </c>
      <c r="F14" s="437">
        <f>'附表2 投资计划与资金筹措平衡表 '!E12*'0基本假设 '!$N$14</f>
        <v>20.802881439219679</v>
      </c>
      <c r="G14" s="437">
        <f>'附表2 投资计划与资金筹措平衡表 '!F12*'0基本假设 '!$N$14</f>
        <v>52.007203598049195</v>
      </c>
      <c r="H14" s="437">
        <f>'附表2 投资计划与资金筹措平衡表 '!G12*'0基本假设 '!$N$14</f>
        <v>72.810085037268877</v>
      </c>
      <c r="I14" s="437">
        <f>'附表2 投资计划与资金筹措平衡表 '!H12*'0基本假设 '!$N$14</f>
        <v>93.612966476488552</v>
      </c>
      <c r="J14" s="437">
        <f>'附表2 投资计划与资金筹措平衡表 '!I12*'0基本假设 '!$N$14</f>
        <v>114.41584791570823</v>
      </c>
      <c r="K14" s="437">
        <f>'附表2 投资计划与资金筹措平衡表 '!J12*'0基本假设 '!$N$14</f>
        <v>135.21872935492792</v>
      </c>
      <c r="L14" s="437">
        <f>'附表2 投资计划与资金筹措平衡表 '!K12*'0基本假设 '!$N$14</f>
        <v>156.02161079414759</v>
      </c>
      <c r="M14" s="437">
        <f>'附表2 投资计划与资金筹措平衡表 '!L12*'0基本假设 '!$N$14</f>
        <v>176.82449223336727</v>
      </c>
      <c r="N14" s="437">
        <f>'附表2 投资计划与资金筹措平衡表 '!M12*'0基本假设 '!$N$14</f>
        <v>197.62737367258697</v>
      </c>
      <c r="O14" s="437"/>
      <c r="P14" s="437"/>
      <c r="Q14" s="437"/>
      <c r="R14" s="437"/>
      <c r="S14" s="437"/>
      <c r="T14" s="437"/>
      <c r="U14" s="437"/>
      <c r="V14" s="437"/>
      <c r="W14" s="437"/>
      <c r="X14" s="437"/>
    </row>
    <row r="15" spans="1:24">
      <c r="A15" s="261"/>
      <c r="B15" s="262"/>
      <c r="C15" s="265" t="s">
        <v>455</v>
      </c>
      <c r="D15" s="438">
        <f t="shared" si="1"/>
        <v>0</v>
      </c>
      <c r="E15" s="437">
        <f>'附表2 投资计划与资金筹措平衡表 '!D21</f>
        <v>0</v>
      </c>
      <c r="F15" s="437">
        <f>'附表2 投资计划与资金筹措平衡表 '!E21</f>
        <v>0</v>
      </c>
      <c r="G15" s="437">
        <f>'附表2 投资计划与资金筹措平衡表 '!F21</f>
        <v>0</v>
      </c>
      <c r="H15" s="437">
        <f>'附表2 投资计划与资金筹措平衡表 '!G21</f>
        <v>0</v>
      </c>
      <c r="I15" s="437">
        <f>'附表2 投资计划与资金筹措平衡表 '!H21</f>
        <v>0</v>
      </c>
      <c r="J15" s="437">
        <f>'附表2 投资计划与资金筹措平衡表 '!I21</f>
        <v>0</v>
      </c>
      <c r="K15" s="437">
        <f>'附表2 投资计划与资金筹措平衡表 '!J21</f>
        <v>0</v>
      </c>
      <c r="L15" s="437">
        <f>'附表2 投资计划与资金筹措平衡表 '!K21</f>
        <v>0</v>
      </c>
      <c r="M15" s="437">
        <f>'附表2 投资计划与资金筹措平衡表 '!L21</f>
        <v>0</v>
      </c>
      <c r="N15" s="437">
        <f>'附表2 投资计划与资金筹措平衡表 '!M21</f>
        <v>0</v>
      </c>
      <c r="O15" s="437"/>
      <c r="P15" s="437"/>
      <c r="Q15" s="437"/>
      <c r="R15" s="437"/>
      <c r="S15" s="437"/>
      <c r="T15" s="437"/>
      <c r="U15" s="437"/>
      <c r="V15" s="437"/>
      <c r="W15" s="437"/>
      <c r="X15" s="437"/>
    </row>
    <row r="16" spans="1:24">
      <c r="A16" s="261"/>
      <c r="B16" s="262">
        <v>2.2000000000000002</v>
      </c>
      <c r="C16" s="264" t="s">
        <v>739</v>
      </c>
      <c r="D16" s="438">
        <f t="shared" ca="1" si="1"/>
        <v>6240.0394034184856</v>
      </c>
      <c r="E16" s="437">
        <f ca="1">'附表10 资金来源与运用表'!D31*'0基本假设 '!$L$36*'0基本假设 '!$N$15</f>
        <v>749.99999999999989</v>
      </c>
      <c r="F16" s="437">
        <f ca="1">'附表10 资金来源与运用表'!E31*'0基本假设 '!$L$36*'0基本假设 '!$N$15</f>
        <v>749.99999999999989</v>
      </c>
      <c r="G16" s="437">
        <f ca="1">'附表10 资金来源与运用表'!F31*'0基本假设 '!$L$36*'0基本假设 '!$N$15</f>
        <v>749.99999999999989</v>
      </c>
      <c r="H16" s="437">
        <f ca="1">'附表10 资金来源与运用表'!G31*'0基本假设 '!$L$36*'0基本假设 '!$N$15</f>
        <v>451.85054286582584</v>
      </c>
      <c r="I16" s="437">
        <f ca="1">'附表10 资金来源与运用表'!H31*'0基本假设 '!$L$36*'0基本假设 '!$N$15</f>
        <v>324.856661455086</v>
      </c>
      <c r="J16" s="437">
        <f ca="1">'附表10 资金来源与运用表'!I31*'0基本假设 '!$L$36*'0基本假设 '!$N$15</f>
        <v>214.22214660650519</v>
      </c>
      <c r="K16" s="437">
        <f ca="1">'附表10 资金来源与运用表'!J31*'0基本假设 '!$L$36*'0基本假设 '!$N$15</f>
        <v>214.22214660650519</v>
      </c>
      <c r="L16" s="437">
        <f ca="1">'附表10 资金来源与运用表'!K31*'0基本假设 '!$L$36*'0基本假设 '!$N$15</f>
        <v>214.22214660650519</v>
      </c>
      <c r="M16" s="437">
        <f ca="1">'附表10 资金来源与运用表'!L31*'0基本假设 '!$L$36*'0基本假设 '!$N$15</f>
        <v>214.22214660650519</v>
      </c>
      <c r="N16" s="437">
        <f ca="1">'附表10 资金来源与运用表'!M31*'0基本假设 '!$L$36*'0基本假设 '!$N$15</f>
        <v>214.22214660650519</v>
      </c>
      <c r="O16" s="437">
        <f ca="1">'附表10 资金来源与运用表'!N31*'0基本假设 '!$L$36*'0基本假设 '!$N$15</f>
        <v>214.22214660650519</v>
      </c>
      <c r="P16" s="437">
        <f ca="1">'附表10 资金来源与运用表'!O31*'0基本假设 '!$L$36*'0基本假设 '!$N$15</f>
        <v>214.22214660650519</v>
      </c>
      <c r="Q16" s="437">
        <f ca="1">'附表10 资金来源与运用表'!P31*'0基本假设 '!$L$36*'0基本假设 '!$N$15</f>
        <v>214.22214660650519</v>
      </c>
      <c r="R16" s="437">
        <f ca="1">'附表10 资金来源与运用表'!Q31*'0基本假设 '!$L$36*'0基本假设 '!$N$15</f>
        <v>214.22214660650519</v>
      </c>
      <c r="S16" s="437">
        <f ca="1">'附表10 资金来源与运用表'!R31*'0基本假设 '!$L$36*'0基本假设 '!$N$15</f>
        <v>214.22214660650519</v>
      </c>
      <c r="T16" s="437">
        <f ca="1">'附表10 资金来源与运用表'!S31*'0基本假设 '!$L$36*'0基本假设 '!$N$15</f>
        <v>214.22214660650519</v>
      </c>
      <c r="U16" s="437">
        <f ca="1">'附表10 资金来源与运用表'!T31*'0基本假设 '!$L$36*'0基本假设 '!$N$15</f>
        <v>214.22214660650519</v>
      </c>
      <c r="V16" s="437">
        <f ca="1">'附表10 资金来源与运用表'!U31*'0基本假设 '!$L$36*'0基本假设 '!$N$15</f>
        <v>214.22214660650519</v>
      </c>
      <c r="W16" s="437">
        <f ca="1">'附表10 资金来源与运用表'!V31*'0基本假设 '!$L$36*'0基本假设 '!$N$15</f>
        <v>214.22214660650519</v>
      </c>
      <c r="X16" s="437">
        <f ca="1">W16</f>
        <v>214.22214660650519</v>
      </c>
    </row>
    <row r="17" spans="1:24" hidden="1">
      <c r="A17" s="261"/>
      <c r="B17" s="262">
        <v>2.2999999999999998</v>
      </c>
      <c r="C17" s="264" t="s">
        <v>762</v>
      </c>
      <c r="D17" s="438">
        <f t="shared" si="1"/>
        <v>0</v>
      </c>
      <c r="E17" s="437"/>
      <c r="F17" s="437"/>
      <c r="G17" s="437"/>
      <c r="H17" s="437"/>
      <c r="I17" s="437"/>
      <c r="J17" s="437"/>
      <c r="K17" s="437"/>
      <c r="L17" s="437"/>
      <c r="M17" s="437"/>
      <c r="N17" s="437"/>
      <c r="O17" s="437"/>
      <c r="P17" s="437"/>
      <c r="Q17" s="437"/>
      <c r="R17" s="437"/>
      <c r="S17" s="437"/>
      <c r="T17" s="437"/>
      <c r="U17" s="437"/>
      <c r="V17" s="437"/>
      <c r="W17" s="437"/>
      <c r="X17" s="437"/>
    </row>
    <row r="18" spans="1:24" hidden="1">
      <c r="A18" s="261"/>
      <c r="B18" s="262">
        <v>2.4</v>
      </c>
      <c r="C18" s="264" t="s">
        <v>761</v>
      </c>
      <c r="D18" s="438">
        <f t="shared" si="1"/>
        <v>0</v>
      </c>
      <c r="E18" s="437"/>
      <c r="F18" s="437"/>
      <c r="G18" s="437"/>
      <c r="H18" s="437"/>
      <c r="I18" s="437"/>
      <c r="J18" s="437"/>
      <c r="K18" s="437"/>
      <c r="L18" s="437"/>
      <c r="M18" s="437"/>
      <c r="N18" s="437"/>
      <c r="O18" s="437"/>
      <c r="P18" s="437"/>
      <c r="Q18" s="437"/>
      <c r="R18" s="437"/>
      <c r="S18" s="437"/>
      <c r="T18" s="437"/>
      <c r="U18" s="437"/>
      <c r="V18" s="437"/>
      <c r="W18" s="437"/>
      <c r="X18" s="437"/>
    </row>
    <row r="19" spans="1:24" hidden="1">
      <c r="A19" s="261"/>
      <c r="B19" s="262">
        <v>2.5</v>
      </c>
      <c r="C19" s="264" t="s">
        <v>743</v>
      </c>
      <c r="D19" s="438">
        <f t="shared" si="1"/>
        <v>0</v>
      </c>
      <c r="E19" s="437"/>
      <c r="F19" s="437"/>
      <c r="G19" s="437"/>
      <c r="H19" s="437"/>
      <c r="I19" s="437"/>
      <c r="J19" s="437"/>
      <c r="K19" s="437"/>
      <c r="L19" s="437"/>
      <c r="M19" s="437"/>
      <c r="N19" s="437"/>
      <c r="O19" s="437"/>
      <c r="P19" s="437"/>
      <c r="Q19" s="437"/>
      <c r="R19" s="437"/>
      <c r="S19" s="437"/>
      <c r="T19" s="437"/>
      <c r="U19" s="437"/>
      <c r="V19" s="437"/>
      <c r="W19" s="437"/>
      <c r="X19" s="437"/>
    </row>
    <row r="20" spans="1:24">
      <c r="A20" s="261"/>
      <c r="B20" s="259">
        <v>3</v>
      </c>
      <c r="C20" s="260" t="s">
        <v>215</v>
      </c>
      <c r="D20" s="438">
        <f t="shared" ca="1" si="1"/>
        <v>-9705.7643802509538</v>
      </c>
      <c r="E20" s="436">
        <f t="shared" ref="E20:X20" ca="1" si="4">E4-E12</f>
        <v>-19730.658809478238</v>
      </c>
      <c r="F20" s="436">
        <f t="shared" ca="1" si="4"/>
        <v>-870.80288143921962</v>
      </c>
      <c r="G20" s="436">
        <f t="shared" ca="1" si="4"/>
        <v>-902.00720359804905</v>
      </c>
      <c r="H20" s="436">
        <f t="shared" ca="1" si="4"/>
        <v>4823.4258165987821</v>
      </c>
      <c r="I20" s="436">
        <f t="shared" ca="1" si="4"/>
        <v>1005.605401467952</v>
      </c>
      <c r="J20" s="436">
        <f t="shared" ca="1" si="4"/>
        <v>659.18725988640654</v>
      </c>
      <c r="K20" s="436">
        <f t="shared" ca="1" si="4"/>
        <v>-2206.820825547215</v>
      </c>
      <c r="L20" s="436">
        <f t="shared" ca="1" si="4"/>
        <v>-2402.7045824882425</v>
      </c>
      <c r="M20" s="436">
        <f t="shared" ca="1" si="4"/>
        <v>-2493.5398141281867</v>
      </c>
      <c r="N20" s="436">
        <f t="shared" ca="1" si="4"/>
        <v>-2549.3588706677679</v>
      </c>
      <c r="O20" s="436">
        <f t="shared" ca="1" si="4"/>
        <v>603.3516655908611</v>
      </c>
      <c r="P20" s="436">
        <f t="shared" ca="1" si="4"/>
        <v>658.49529571493167</v>
      </c>
      <c r="Q20" s="436">
        <f t="shared" ca="1" si="4"/>
        <v>714.46608029086337</v>
      </c>
      <c r="R20" s="436">
        <f t="shared" ca="1" si="4"/>
        <v>771.27642663543361</v>
      </c>
      <c r="S20" s="436">
        <f t="shared" ca="1" si="4"/>
        <v>845.34327589070494</v>
      </c>
      <c r="T20" s="436">
        <f t="shared" ca="1" si="4"/>
        <v>1009.8762021096206</v>
      </c>
      <c r="U20" s="436">
        <f t="shared" ca="1" si="4"/>
        <v>1075.8821472749291</v>
      </c>
      <c r="V20" s="436">
        <f t="shared" ca="1" si="4"/>
        <v>1142.8781816177175</v>
      </c>
      <c r="W20" s="436">
        <f t="shared" ca="1" si="4"/>
        <v>1210.8791564756475</v>
      </c>
      <c r="X20" s="436">
        <f t="shared" ca="1" si="4"/>
        <v>6929.4616975421213</v>
      </c>
    </row>
    <row r="21" spans="1:24">
      <c r="A21" s="261"/>
      <c r="B21" s="266">
        <v>4</v>
      </c>
      <c r="C21" s="54" t="s">
        <v>315</v>
      </c>
      <c r="D21" s="437"/>
      <c r="E21" s="437">
        <f ca="1">E20</f>
        <v>-19730.658809478238</v>
      </c>
      <c r="F21" s="437">
        <f ca="1">E21+F20</f>
        <v>-20601.461690917458</v>
      </c>
      <c r="G21" s="437">
        <f t="shared" ref="G21:X21" ca="1" si="5">F21+G20</f>
        <v>-21503.468894515507</v>
      </c>
      <c r="H21" s="437">
        <f t="shared" ca="1" si="5"/>
        <v>-16680.043077916725</v>
      </c>
      <c r="I21" s="437">
        <f t="shared" ca="1" si="5"/>
        <v>-15674.437676448773</v>
      </c>
      <c r="J21" s="437">
        <f t="shared" ca="1" si="5"/>
        <v>-15015.250416562367</v>
      </c>
      <c r="K21" s="437">
        <f t="shared" ca="1" si="5"/>
        <v>-17222.071242109581</v>
      </c>
      <c r="L21" s="437">
        <f t="shared" ca="1" si="5"/>
        <v>-19624.775824597826</v>
      </c>
      <c r="M21" s="437">
        <f t="shared" ca="1" si="5"/>
        <v>-22118.315638726013</v>
      </c>
      <c r="N21" s="437">
        <f t="shared" ca="1" si="5"/>
        <v>-24667.674509393783</v>
      </c>
      <c r="O21" s="437">
        <f t="shared" ca="1" si="5"/>
        <v>-24064.322843802922</v>
      </c>
      <c r="P21" s="437">
        <f t="shared" ca="1" si="5"/>
        <v>-23405.827548087989</v>
      </c>
      <c r="Q21" s="437">
        <f t="shared" ca="1" si="5"/>
        <v>-22691.361467797127</v>
      </c>
      <c r="R21" s="437">
        <f t="shared" ca="1" si="5"/>
        <v>-21920.085041161692</v>
      </c>
      <c r="S21" s="437">
        <f t="shared" ca="1" si="5"/>
        <v>-21074.741765270988</v>
      </c>
      <c r="T21" s="437">
        <f t="shared" ca="1" si="5"/>
        <v>-20064.865563161369</v>
      </c>
      <c r="U21" s="437">
        <f t="shared" ca="1" si="5"/>
        <v>-18988.98341588644</v>
      </c>
      <c r="V21" s="437">
        <f t="shared" ca="1" si="5"/>
        <v>-17846.105234268722</v>
      </c>
      <c r="W21" s="437">
        <f t="shared" ca="1" si="5"/>
        <v>-16635.226077793075</v>
      </c>
      <c r="X21" s="437">
        <f t="shared" ca="1" si="5"/>
        <v>-9705.7643802509538</v>
      </c>
    </row>
    <row r="22" spans="1:24">
      <c r="A22" s="261"/>
      <c r="B22" s="267"/>
      <c r="C22" s="258"/>
      <c r="D22" s="268"/>
      <c r="E22" s="268"/>
      <c r="F22" s="268"/>
      <c r="G22" s="268"/>
      <c r="H22" s="268"/>
      <c r="I22" s="268"/>
      <c r="J22" s="268"/>
      <c r="K22" s="268"/>
      <c r="L22" s="268"/>
      <c r="M22" s="268"/>
      <c r="N22" s="268"/>
      <c r="O22" s="268"/>
      <c r="P22" s="268"/>
      <c r="Q22" s="268"/>
      <c r="R22" s="268"/>
      <c r="S22" s="268"/>
      <c r="T22" s="268"/>
      <c r="U22" s="268"/>
      <c r="V22" s="268"/>
      <c r="W22" s="268"/>
      <c r="X22" s="261"/>
    </row>
    <row r="23" spans="1:24" ht="14.5" thickBot="1">
      <c r="A23" s="261"/>
      <c r="B23" s="267"/>
      <c r="C23" s="258"/>
      <c r="D23" s="268"/>
      <c r="E23" s="268"/>
      <c r="F23" s="268"/>
      <c r="G23" s="268"/>
      <c r="H23" s="268"/>
      <c r="I23" s="268"/>
      <c r="J23" s="268"/>
      <c r="K23" s="268"/>
      <c r="L23" s="268"/>
      <c r="M23" s="268"/>
      <c r="N23" s="269"/>
      <c r="O23" s="268"/>
      <c r="P23" s="269"/>
      <c r="Q23" s="269"/>
      <c r="R23" s="269"/>
      <c r="S23" s="269"/>
      <c r="T23" s="268"/>
      <c r="U23" s="268"/>
      <c r="V23" s="268"/>
      <c r="W23" s="268"/>
      <c r="X23" s="261"/>
    </row>
    <row r="24" spans="1:24">
      <c r="A24" s="261"/>
      <c r="B24" s="261"/>
      <c r="C24" s="355" t="s">
        <v>317</v>
      </c>
      <c r="D24" s="356">
        <f ca="1">(1+IRR(E20:X20))^4-1</f>
        <v>-0.13034850100391138</v>
      </c>
      <c r="E24" s="356" t="str">
        <f ca="1">IF(D24&gt;=13%,"可行","不可行")</f>
        <v>不可行</v>
      </c>
      <c r="F24" s="277"/>
      <c r="G24" s="277"/>
      <c r="H24" s="277"/>
      <c r="I24" s="277"/>
      <c r="J24" s="277"/>
      <c r="K24" s="277"/>
      <c r="L24" s="277"/>
      <c r="M24" s="269"/>
      <c r="N24" s="269"/>
      <c r="O24" s="269"/>
      <c r="P24" s="269"/>
      <c r="Q24" s="269"/>
      <c r="R24" s="269"/>
      <c r="S24" s="269"/>
      <c r="T24" s="261"/>
      <c r="U24" s="261"/>
      <c r="V24" s="261"/>
      <c r="W24" s="261"/>
      <c r="X24" s="261"/>
    </row>
    <row r="25" spans="1:24">
      <c r="A25" s="261"/>
      <c r="B25" s="261"/>
      <c r="C25" s="278" t="s">
        <v>318</v>
      </c>
      <c r="D25" s="351" t="e">
        <f ca="1">(COUNTIF(E21:X21,"&lt;0")+ABS(INDEX(E21:X21,1,COUNTIF(E21:X21,"&lt;0")))/(INDEX(E21:X21,1,COUNTIF(E21:X21,"&lt;0")+1)+ABS(INDEX(E21:X21,1,COUNTIF(E21:X21,"&lt;0")))))/4</f>
        <v>#REF!</v>
      </c>
      <c r="E25" s="275"/>
      <c r="F25" s="276"/>
      <c r="G25" s="276"/>
      <c r="H25" s="276"/>
      <c r="I25" s="276"/>
      <c r="J25" s="276"/>
      <c r="K25" s="276"/>
      <c r="L25" s="276"/>
      <c r="M25" s="269"/>
      <c r="N25" s="269"/>
      <c r="O25" s="269"/>
      <c r="P25" s="269"/>
      <c r="Q25" s="269"/>
      <c r="R25" s="269"/>
      <c r="S25" s="269"/>
      <c r="T25" s="261"/>
      <c r="U25" s="261"/>
      <c r="V25" s="261"/>
      <c r="W25" s="261"/>
      <c r="X25" s="261"/>
    </row>
    <row r="26" spans="1:24">
      <c r="A26" s="261"/>
      <c r="B26" s="261"/>
      <c r="C26" s="278" t="s">
        <v>394</v>
      </c>
      <c r="D26" s="275">
        <f ca="1">NPV(1.5%,E20:X20)</f>
        <v>-12048.1279062267</v>
      </c>
      <c r="E26" s="283" t="str">
        <f ca="1">IF(D26&gt;0,"可行","不可行")</f>
        <v>不可行</v>
      </c>
      <c r="F26" s="49"/>
      <c r="G26" s="49"/>
      <c r="H26" s="49"/>
      <c r="I26" s="49"/>
      <c r="J26" s="49"/>
      <c r="K26" s="49"/>
      <c r="L26" s="49"/>
      <c r="M26" s="269"/>
      <c r="N26" s="269"/>
      <c r="O26" s="269"/>
      <c r="P26" s="269"/>
      <c r="Q26" s="269"/>
      <c r="R26" s="269"/>
      <c r="S26" s="269"/>
      <c r="T26" s="261"/>
      <c r="U26" s="261"/>
      <c r="V26" s="261"/>
      <c r="W26" s="261"/>
      <c r="X26" s="261"/>
    </row>
    <row r="27" spans="1:24" ht="15" thickBot="1">
      <c r="A27" s="52"/>
      <c r="B27" s="257"/>
      <c r="C27" s="357" t="s">
        <v>40</v>
      </c>
      <c r="D27" s="358">
        <f ca="1">D20</f>
        <v>-9705.7643802509538</v>
      </c>
      <c r="E27" s="358"/>
      <c r="F27" s="52"/>
      <c r="G27" s="52"/>
      <c r="H27" s="52"/>
      <c r="I27" s="52"/>
      <c r="J27" s="52"/>
      <c r="K27" s="52"/>
      <c r="L27" s="52"/>
      <c r="M27" s="269"/>
      <c r="N27" s="269"/>
      <c r="O27" s="269"/>
      <c r="P27" s="269"/>
      <c r="Q27" s="269"/>
      <c r="R27" s="269"/>
      <c r="S27" s="269"/>
      <c r="T27" s="52"/>
      <c r="U27" s="52"/>
      <c r="V27" s="52"/>
      <c r="W27" s="52"/>
      <c r="X27" s="52"/>
    </row>
    <row r="28" spans="1:24" ht="14.5">
      <c r="A28" s="52"/>
      <c r="B28" s="257"/>
      <c r="C28" s="353"/>
      <c r="D28" s="354"/>
      <c r="E28" s="52"/>
      <c r="F28" s="52"/>
      <c r="G28" s="52"/>
      <c r="H28" s="52"/>
      <c r="I28" s="52"/>
      <c r="J28" s="52"/>
      <c r="K28" s="52"/>
      <c r="L28" s="52"/>
      <c r="M28" s="269"/>
      <c r="N28" s="269"/>
      <c r="O28" s="269"/>
      <c r="P28" s="269"/>
      <c r="Q28" s="269"/>
      <c r="R28" s="269"/>
      <c r="S28" s="269"/>
      <c r="T28" s="52"/>
      <c r="U28" s="52"/>
      <c r="V28" s="52"/>
      <c r="W28" s="52"/>
      <c r="X28" s="52"/>
    </row>
    <row r="29" spans="1:24" ht="14.5">
      <c r="A29" s="52"/>
      <c r="B29" s="257"/>
      <c r="C29" s="269"/>
      <c r="D29" s="269"/>
      <c r="E29" s="52"/>
      <c r="F29" s="52"/>
      <c r="G29" s="52"/>
      <c r="H29" s="52"/>
      <c r="I29" s="52"/>
      <c r="J29" s="52"/>
      <c r="K29" s="52"/>
      <c r="L29" s="52"/>
      <c r="M29" s="52"/>
      <c r="N29" s="52"/>
      <c r="O29" s="52"/>
      <c r="P29" s="52"/>
      <c r="Q29" s="52"/>
      <c r="R29" s="52"/>
      <c r="S29" s="52"/>
      <c r="T29" s="52"/>
      <c r="U29" s="52"/>
      <c r="V29" s="52"/>
      <c r="W29" s="52"/>
      <c r="X29" s="52"/>
    </row>
    <row r="30" spans="1:24" ht="14.5">
      <c r="A30" s="52"/>
      <c r="B30" s="257"/>
      <c r="C30" s="269"/>
      <c r="D30" s="269"/>
      <c r="E30" s="52"/>
      <c r="F30" s="52"/>
      <c r="G30" s="52"/>
      <c r="H30" s="52"/>
      <c r="I30" s="52"/>
      <c r="J30" s="52"/>
      <c r="K30" s="52"/>
      <c r="L30" s="52"/>
      <c r="M30" s="52"/>
      <c r="N30" s="52"/>
      <c r="O30" s="52"/>
      <c r="P30" s="52"/>
      <c r="Q30" s="52"/>
      <c r="R30" s="282"/>
      <c r="S30" s="52"/>
      <c r="T30" s="52"/>
      <c r="U30" s="52"/>
      <c r="V30" s="52"/>
      <c r="W30" s="52"/>
      <c r="X30" s="52"/>
    </row>
    <row r="31" spans="1:24" ht="15">
      <c r="A31" s="52"/>
      <c r="B31" s="469" t="s">
        <v>554</v>
      </c>
      <c r="C31" s="470"/>
      <c r="E31" s="52"/>
      <c r="F31" s="52"/>
      <c r="G31" s="52"/>
      <c r="H31" s="52"/>
      <c r="I31" s="52"/>
      <c r="J31" s="52"/>
      <c r="K31" s="52"/>
      <c r="L31" s="52"/>
      <c r="M31" s="52"/>
      <c r="N31" s="52"/>
      <c r="O31" s="52"/>
      <c r="P31" s="52"/>
      <c r="Q31" s="52"/>
      <c r="R31" s="282"/>
      <c r="S31" s="52"/>
      <c r="T31" s="52"/>
      <c r="U31" s="52"/>
      <c r="V31" s="52"/>
      <c r="W31" s="52"/>
      <c r="X31" s="52"/>
    </row>
    <row r="32" spans="1:24" ht="23">
      <c r="A32" s="52"/>
      <c r="B32" s="790" t="s">
        <v>781</v>
      </c>
      <c r="C32" s="791"/>
      <c r="D32" s="791"/>
      <c r="E32" s="791"/>
      <c r="F32" s="791"/>
      <c r="G32" s="791"/>
      <c r="H32" s="791"/>
      <c r="I32" s="791"/>
      <c r="J32" s="791"/>
      <c r="K32" s="791"/>
      <c r="L32" s="791"/>
      <c r="M32" s="791"/>
      <c r="N32" s="791"/>
      <c r="O32" s="791"/>
      <c r="P32" s="791"/>
      <c r="Q32" s="791"/>
      <c r="R32" s="791"/>
      <c r="S32" s="791"/>
      <c r="T32" s="791"/>
      <c r="U32" s="791"/>
      <c r="V32" s="791"/>
      <c r="W32" s="791"/>
      <c r="X32" s="791"/>
    </row>
    <row r="33" spans="1:24" ht="23">
      <c r="A33" s="52"/>
      <c r="B33" s="520" t="s">
        <v>324</v>
      </c>
      <c r="C33" s="520" t="s">
        <v>379</v>
      </c>
      <c r="D33" s="520" t="s">
        <v>497</v>
      </c>
      <c r="E33" s="520" t="s">
        <v>397</v>
      </c>
      <c r="F33" s="694"/>
      <c r="G33" s="694"/>
      <c r="H33" s="694"/>
      <c r="I33" s="694"/>
      <c r="J33" s="694"/>
      <c r="K33" s="694"/>
      <c r="L33" s="694"/>
      <c r="M33" s="694"/>
      <c r="N33" s="694"/>
      <c r="O33" s="694"/>
      <c r="P33" s="694"/>
      <c r="Q33" s="694"/>
      <c r="R33" s="694"/>
      <c r="S33" s="694"/>
      <c r="T33" s="694"/>
      <c r="U33" s="694"/>
      <c r="V33" s="694"/>
      <c r="W33" s="694"/>
      <c r="X33" s="694"/>
    </row>
    <row r="34" spans="1:24" ht="24">
      <c r="B34" s="259">
        <v>1</v>
      </c>
      <c r="C34" s="697" t="s">
        <v>778</v>
      </c>
      <c r="D34" s="259">
        <f ca="1">SUM(D35:D37)</f>
        <v>3122.8942507786646</v>
      </c>
      <c r="E34" s="702" t="s">
        <v>685</v>
      </c>
      <c r="F34" s="695"/>
      <c r="G34" s="695"/>
      <c r="H34" s="695"/>
      <c r="I34" s="695"/>
      <c r="J34" s="695"/>
      <c r="K34" s="696"/>
      <c r="L34" s="696"/>
      <c r="M34" s="696"/>
    </row>
    <row r="35" spans="1:24">
      <c r="B35" s="262">
        <v>1.1000000000000001</v>
      </c>
      <c r="C35" s="698" t="s">
        <v>773</v>
      </c>
      <c r="D35" s="699">
        <f>AVERAGE('附表7 银行贷款还本付息表'!$O$26:$X$26)*4</f>
        <v>1474.8863700949676</v>
      </c>
      <c r="E35" s="702" t="s">
        <v>685</v>
      </c>
      <c r="F35" s="695"/>
      <c r="G35" s="695"/>
      <c r="H35" s="695"/>
      <c r="I35" s="695"/>
      <c r="J35" s="695"/>
      <c r="K35" s="696"/>
      <c r="L35" s="696"/>
      <c r="M35" s="696"/>
    </row>
    <row r="36" spans="1:24">
      <c r="B36" s="262">
        <v>1.2</v>
      </c>
      <c r="C36" s="698" t="s">
        <v>774</v>
      </c>
      <c r="D36" s="699">
        <f ca="1">AVERAGE('附表16五江现金流量表（劣后级）'!$E$16:$X$16)*4</f>
        <v>1248.0078806836971</v>
      </c>
      <c r="E36" s="702" t="s">
        <v>685</v>
      </c>
      <c r="F36" s="695"/>
      <c r="G36" s="695"/>
      <c r="H36" s="695"/>
      <c r="I36" s="695"/>
      <c r="J36" s="695"/>
      <c r="K36" s="696"/>
      <c r="L36" s="696"/>
      <c r="M36" s="696"/>
    </row>
    <row r="37" spans="1:24">
      <c r="B37" s="262">
        <v>1.3</v>
      </c>
      <c r="C37" s="698" t="s">
        <v>775</v>
      </c>
      <c r="D37" s="699">
        <f>AVERAGE('5.1运营成本明细表'!$H$9:$Z$9)*4</f>
        <v>400</v>
      </c>
      <c r="E37" s="702" t="s">
        <v>685</v>
      </c>
      <c r="F37" s="695"/>
      <c r="G37" s="695"/>
      <c r="H37" s="695"/>
      <c r="I37" s="695"/>
      <c r="J37" s="695"/>
      <c r="K37" s="696"/>
      <c r="L37" s="696"/>
      <c r="M37" s="696"/>
    </row>
    <row r="38" spans="1:24" ht="24">
      <c r="B38" s="259">
        <v>2</v>
      </c>
      <c r="C38" s="697" t="s">
        <v>779</v>
      </c>
      <c r="D38" s="700">
        <f ca="1">D39-D40</f>
        <v>42294.235619749044</v>
      </c>
      <c r="E38" s="702" t="s">
        <v>685</v>
      </c>
      <c r="F38" s="695"/>
      <c r="G38" s="695"/>
      <c r="H38" s="695"/>
      <c r="I38" s="695"/>
      <c r="J38" s="695"/>
      <c r="K38" s="696"/>
      <c r="L38" s="696"/>
      <c r="M38" s="696"/>
    </row>
    <row r="39" spans="1:24" ht="26">
      <c r="B39" s="262">
        <v>2.1</v>
      </c>
      <c r="C39" s="701" t="s">
        <v>776</v>
      </c>
      <c r="D39" s="699">
        <f>D14+32000</f>
        <v>52000</v>
      </c>
      <c r="E39" s="702" t="s">
        <v>685</v>
      </c>
      <c r="F39" s="695"/>
      <c r="G39" s="695"/>
      <c r="H39" s="695"/>
      <c r="I39" s="695"/>
      <c r="J39" s="695"/>
      <c r="K39" s="696"/>
      <c r="L39" s="696"/>
      <c r="M39" s="696"/>
    </row>
    <row r="40" spans="1:24" ht="26">
      <c r="B40" s="262">
        <v>2.2000000000000002</v>
      </c>
      <c r="C40" s="701" t="s">
        <v>777</v>
      </c>
      <c r="D40" s="699">
        <f ca="1">-X21</f>
        <v>9705.7643802509538</v>
      </c>
      <c r="E40" s="702" t="s">
        <v>685</v>
      </c>
      <c r="F40" s="695"/>
      <c r="G40" s="695"/>
      <c r="H40" s="695"/>
      <c r="I40" s="695"/>
      <c r="J40" s="695"/>
      <c r="K40" s="696"/>
      <c r="L40" s="696"/>
      <c r="M40" s="696"/>
    </row>
    <row r="41" spans="1:24" ht="24">
      <c r="B41" s="259">
        <v>3</v>
      </c>
      <c r="C41" s="697" t="s">
        <v>780</v>
      </c>
      <c r="D41" s="700">
        <f ca="1">D38/D34</f>
        <v>13.54328139968344</v>
      </c>
      <c r="E41" s="702" t="s">
        <v>571</v>
      </c>
      <c r="F41" s="695"/>
      <c r="G41" s="695"/>
      <c r="H41" s="695"/>
      <c r="I41" s="695"/>
      <c r="J41" s="695"/>
      <c r="K41" s="696"/>
      <c r="L41" s="696"/>
      <c r="M41" s="696"/>
    </row>
    <row r="42" spans="1:24">
      <c r="B42" s="259">
        <v>4</v>
      </c>
      <c r="C42" s="697" t="s">
        <v>785</v>
      </c>
      <c r="D42" s="700">
        <f ca="1">5+D41</f>
        <v>18.54328139968344</v>
      </c>
      <c r="E42" s="702" t="s">
        <v>571</v>
      </c>
      <c r="F42" s="695"/>
      <c r="G42" s="695"/>
      <c r="H42" s="695"/>
      <c r="I42" s="695"/>
      <c r="J42" s="695"/>
      <c r="K42" s="696"/>
      <c r="L42" s="696"/>
      <c r="M42" s="696"/>
    </row>
    <row r="43" spans="1:24">
      <c r="B43" s="696"/>
      <c r="C43" s="695"/>
      <c r="D43" s="695"/>
      <c r="E43" s="695"/>
      <c r="F43" s="695"/>
      <c r="G43" s="695"/>
      <c r="H43" s="695"/>
      <c r="I43" s="695"/>
      <c r="J43" s="695"/>
      <c r="K43" s="696"/>
      <c r="L43" s="696"/>
      <c r="M43" s="696"/>
    </row>
    <row r="44" spans="1:24" ht="23">
      <c r="B44" s="790" t="s">
        <v>782</v>
      </c>
      <c r="C44" s="791"/>
      <c r="D44" s="791"/>
      <c r="E44" s="791"/>
      <c r="F44" s="791"/>
      <c r="G44" s="791"/>
      <c r="H44" s="791"/>
      <c r="I44" s="791"/>
      <c r="J44" s="791"/>
      <c r="K44" s="791"/>
      <c r="L44" s="791"/>
      <c r="M44" s="791"/>
      <c r="N44" s="791"/>
      <c r="O44" s="791"/>
      <c r="P44" s="791"/>
      <c r="Q44" s="791"/>
      <c r="R44" s="791"/>
      <c r="S44" s="791"/>
      <c r="T44" s="791"/>
      <c r="U44" s="791"/>
      <c r="V44" s="791"/>
      <c r="W44" s="791"/>
      <c r="X44" s="791"/>
    </row>
    <row r="45" spans="1:24" ht="23">
      <c r="B45" s="520" t="s">
        <v>324</v>
      </c>
      <c r="C45" s="520" t="s">
        <v>379</v>
      </c>
      <c r="D45" s="520" t="s">
        <v>497</v>
      </c>
      <c r="E45" s="520" t="s">
        <v>397</v>
      </c>
      <c r="F45" s="694"/>
      <c r="G45" s="694"/>
      <c r="H45" s="694"/>
      <c r="I45" s="694"/>
      <c r="J45" s="694"/>
      <c r="K45" s="694"/>
      <c r="L45" s="694"/>
      <c r="M45" s="694"/>
      <c r="N45" s="694"/>
      <c r="O45" s="694"/>
      <c r="P45" s="694"/>
      <c r="Q45" s="694"/>
      <c r="R45" s="694"/>
      <c r="S45" s="694"/>
      <c r="T45" s="694"/>
      <c r="U45" s="694"/>
      <c r="V45" s="694"/>
      <c r="W45" s="694"/>
      <c r="X45" s="694"/>
    </row>
    <row r="46" spans="1:24" ht="24">
      <c r="B46" s="259">
        <v>1</v>
      </c>
      <c r="C46" s="697" t="s">
        <v>778</v>
      </c>
      <c r="D46" s="259">
        <f ca="1">D34</f>
        <v>3122.8942507786646</v>
      </c>
      <c r="E46" s="702" t="s">
        <v>685</v>
      </c>
      <c r="F46" s="695"/>
      <c r="G46" s="695"/>
      <c r="H46" s="695"/>
      <c r="I46" s="695"/>
      <c r="J46" s="695"/>
      <c r="K46" s="696"/>
      <c r="L46" s="696"/>
      <c r="M46" s="696"/>
    </row>
    <row r="47" spans="1:24">
      <c r="B47" s="262">
        <v>1.1000000000000001</v>
      </c>
      <c r="C47" s="698" t="s">
        <v>773</v>
      </c>
      <c r="D47" s="259">
        <f t="shared" ref="D47:D49" si="6">D35</f>
        <v>1474.8863700949676</v>
      </c>
      <c r="E47" s="702" t="s">
        <v>685</v>
      </c>
      <c r="F47" s="695"/>
      <c r="G47" s="695"/>
      <c r="H47" s="695"/>
      <c r="I47" s="695"/>
      <c r="J47" s="695"/>
      <c r="K47" s="696"/>
      <c r="L47" s="696"/>
      <c r="M47" s="696"/>
    </row>
    <row r="48" spans="1:24">
      <c r="B48" s="262">
        <v>1.2</v>
      </c>
      <c r="C48" s="698" t="s">
        <v>774</v>
      </c>
      <c r="D48" s="259">
        <f t="shared" ca="1" si="6"/>
        <v>1248.0078806836971</v>
      </c>
      <c r="E48" s="702" t="s">
        <v>685</v>
      </c>
      <c r="F48" s="695"/>
      <c r="G48" s="695"/>
      <c r="H48" s="695"/>
      <c r="I48" s="695"/>
      <c r="J48" s="695"/>
      <c r="K48" s="696"/>
      <c r="L48" s="696"/>
      <c r="M48" s="696"/>
    </row>
    <row r="49" spans="2:24">
      <c r="B49" s="262">
        <v>1.3</v>
      </c>
      <c r="C49" s="698" t="s">
        <v>775</v>
      </c>
      <c r="D49" s="259">
        <f t="shared" si="6"/>
        <v>400</v>
      </c>
      <c r="E49" s="702" t="s">
        <v>685</v>
      </c>
      <c r="F49" s="695"/>
      <c r="G49" s="695"/>
      <c r="H49" s="695"/>
      <c r="I49" s="695"/>
      <c r="J49" s="695"/>
      <c r="K49" s="696"/>
      <c r="L49" s="696"/>
      <c r="M49" s="696"/>
    </row>
    <row r="50" spans="2:24" ht="24">
      <c r="B50" s="259">
        <v>2</v>
      </c>
      <c r="C50" s="697" t="s">
        <v>779</v>
      </c>
      <c r="D50" s="700">
        <f ca="1">D51-D52</f>
        <v>22294.235619749044</v>
      </c>
      <c r="E50" s="702" t="s">
        <v>685</v>
      </c>
      <c r="F50" s="695"/>
      <c r="G50" s="695"/>
      <c r="H50" s="695"/>
      <c r="I50" s="695"/>
      <c r="J50" s="695"/>
      <c r="K50" s="696"/>
      <c r="L50" s="696"/>
      <c r="M50" s="696"/>
    </row>
    <row r="51" spans="2:24" ht="26">
      <c r="B51" s="262">
        <v>2.1</v>
      </c>
      <c r="C51" s="701" t="s">
        <v>776</v>
      </c>
      <c r="D51" s="699">
        <f>32000</f>
        <v>32000</v>
      </c>
      <c r="E51" s="702" t="s">
        <v>685</v>
      </c>
      <c r="F51" s="695"/>
      <c r="G51" s="695"/>
      <c r="H51" s="695"/>
      <c r="I51" s="695"/>
      <c r="J51" s="695"/>
      <c r="K51" s="696"/>
      <c r="L51" s="696"/>
      <c r="M51" s="696"/>
    </row>
    <row r="52" spans="2:24" ht="26">
      <c r="B52" s="262">
        <v>2.2000000000000002</v>
      </c>
      <c r="C52" s="701" t="s">
        <v>777</v>
      </c>
      <c r="D52" s="699">
        <f ca="1">-X21</f>
        <v>9705.7643802509538</v>
      </c>
      <c r="E52" s="702" t="s">
        <v>685</v>
      </c>
      <c r="F52" s="695"/>
      <c r="G52" s="695"/>
      <c r="H52" s="695"/>
      <c r="I52" s="695"/>
      <c r="J52" s="695"/>
      <c r="K52" s="696"/>
      <c r="L52" s="696"/>
      <c r="M52" s="696"/>
    </row>
    <row r="53" spans="2:24" ht="24">
      <c r="B53" s="259">
        <v>3</v>
      </c>
      <c r="C53" s="697" t="s">
        <v>780</v>
      </c>
      <c r="D53" s="700">
        <f ca="1">D50/D46</f>
        <v>7.1389659173345956</v>
      </c>
      <c r="E53" s="702" t="s">
        <v>571</v>
      </c>
      <c r="F53" s="695"/>
      <c r="G53" s="695"/>
      <c r="H53" s="695"/>
      <c r="I53" s="695"/>
      <c r="J53" s="695"/>
      <c r="K53" s="696"/>
      <c r="L53" s="696"/>
      <c r="M53" s="696"/>
    </row>
    <row r="54" spans="2:24">
      <c r="B54" s="259">
        <v>4</v>
      </c>
      <c r="C54" s="697" t="s">
        <v>785</v>
      </c>
      <c r="D54" s="700">
        <f ca="1">5+D53</f>
        <v>12.138965917334595</v>
      </c>
      <c r="E54" s="702" t="s">
        <v>571</v>
      </c>
      <c r="F54" s="695"/>
      <c r="G54" s="695"/>
      <c r="H54" s="695"/>
      <c r="I54" s="695"/>
      <c r="J54" s="695"/>
      <c r="K54" s="696"/>
      <c r="L54" s="696"/>
      <c r="M54" s="696"/>
    </row>
    <row r="57" spans="2:24" ht="23">
      <c r="B57" s="790" t="s">
        <v>783</v>
      </c>
      <c r="C57" s="791"/>
      <c r="D57" s="791"/>
      <c r="E57" s="791"/>
      <c r="F57" s="791"/>
      <c r="G57" s="791"/>
      <c r="H57" s="791"/>
      <c r="I57" s="791"/>
      <c r="J57" s="791"/>
      <c r="K57" s="791"/>
      <c r="L57" s="791"/>
      <c r="M57" s="791"/>
      <c r="N57" s="791"/>
      <c r="O57" s="791"/>
      <c r="P57" s="791"/>
      <c r="Q57" s="791"/>
      <c r="R57" s="791"/>
      <c r="S57" s="791"/>
      <c r="T57" s="791"/>
      <c r="U57" s="791"/>
      <c r="V57" s="791"/>
      <c r="W57" s="791"/>
      <c r="X57" s="791"/>
    </row>
    <row r="58" spans="2:24" ht="23">
      <c r="B58" s="520" t="s">
        <v>324</v>
      </c>
      <c r="C58" s="520" t="s">
        <v>379</v>
      </c>
      <c r="D58" s="520" t="s">
        <v>497</v>
      </c>
      <c r="E58" s="520" t="s">
        <v>397</v>
      </c>
      <c r="F58" s="694"/>
      <c r="G58" s="694"/>
      <c r="H58" s="694"/>
      <c r="I58" s="694"/>
      <c r="J58" s="694"/>
      <c r="K58" s="694"/>
      <c r="L58" s="694"/>
      <c r="M58" s="694"/>
      <c r="N58" s="694"/>
      <c r="O58" s="694"/>
      <c r="P58" s="694"/>
      <c r="Q58" s="694"/>
      <c r="R58" s="694"/>
      <c r="S58" s="694"/>
      <c r="T58" s="694"/>
      <c r="U58" s="694"/>
      <c r="V58" s="694"/>
      <c r="W58" s="694"/>
      <c r="X58" s="694"/>
    </row>
    <row r="59" spans="2:24" ht="24">
      <c r="B59" s="259">
        <v>1</v>
      </c>
      <c r="C59" s="697" t="s">
        <v>778</v>
      </c>
      <c r="D59" s="259">
        <f ca="1">SUM(D60:D62)</f>
        <v>3122.8942507786646</v>
      </c>
      <c r="E59" s="702" t="s">
        <v>685</v>
      </c>
      <c r="F59" s="695"/>
      <c r="G59" s="695"/>
      <c r="H59" s="695"/>
      <c r="I59" s="695"/>
      <c r="J59" s="695"/>
      <c r="K59" s="696"/>
      <c r="L59" s="696"/>
      <c r="M59" s="696"/>
    </row>
    <row r="60" spans="2:24">
      <c r="B60" s="262">
        <v>1.1000000000000001</v>
      </c>
      <c r="C60" s="698" t="s">
        <v>773</v>
      </c>
      <c r="D60" s="699">
        <f>AVERAGE('附表7 银行贷款还本付息表'!$O$26:$X$26)*4</f>
        <v>1474.8863700949676</v>
      </c>
      <c r="E60" s="702" t="s">
        <v>685</v>
      </c>
      <c r="F60" s="695"/>
      <c r="G60" s="695"/>
      <c r="H60" s="695"/>
      <c r="I60" s="695"/>
      <c r="J60" s="695"/>
      <c r="K60" s="696"/>
      <c r="L60" s="696"/>
      <c r="M60" s="696"/>
    </row>
    <row r="61" spans="2:24">
      <c r="B61" s="262">
        <v>1.2</v>
      </c>
      <c r="C61" s="698" t="s">
        <v>774</v>
      </c>
      <c r="D61" s="699">
        <f ca="1">AVERAGE('附表16五江现金流量表（劣后级）'!$E$16:$X$16)*4</f>
        <v>1248.0078806836971</v>
      </c>
      <c r="E61" s="702" t="s">
        <v>685</v>
      </c>
      <c r="F61" s="695"/>
      <c r="G61" s="695"/>
      <c r="H61" s="695"/>
      <c r="I61" s="695"/>
      <c r="J61" s="695"/>
      <c r="K61" s="696"/>
      <c r="L61" s="696"/>
      <c r="M61" s="696"/>
    </row>
    <row r="62" spans="2:24">
      <c r="B62" s="262">
        <v>1.3</v>
      </c>
      <c r="C62" s="698" t="s">
        <v>775</v>
      </c>
      <c r="D62" s="699">
        <f>AVERAGE('5.1运营成本明细表'!$H$9:$Z$9)*4</f>
        <v>400</v>
      </c>
      <c r="E62" s="702" t="s">
        <v>685</v>
      </c>
      <c r="F62" s="695"/>
      <c r="G62" s="695"/>
      <c r="H62" s="695"/>
      <c r="I62" s="695"/>
      <c r="J62" s="695"/>
      <c r="K62" s="696"/>
      <c r="L62" s="696"/>
      <c r="M62" s="696"/>
    </row>
    <row r="63" spans="2:24" ht="24">
      <c r="B63" s="259">
        <v>2</v>
      </c>
      <c r="C63" s="697" t="s">
        <v>779</v>
      </c>
      <c r="D63" s="700">
        <f ca="1">D64-D65</f>
        <v>21294.235619749052</v>
      </c>
      <c r="E63" s="702" t="s">
        <v>685</v>
      </c>
      <c r="F63" s="695"/>
      <c r="G63" s="695"/>
      <c r="H63" s="695"/>
      <c r="I63" s="695"/>
      <c r="J63" s="695"/>
      <c r="K63" s="696"/>
      <c r="L63" s="696"/>
      <c r="M63" s="696"/>
    </row>
    <row r="64" spans="2:24" ht="26">
      <c r="B64" s="262">
        <v>2.1</v>
      </c>
      <c r="C64" s="701" t="s">
        <v>776</v>
      </c>
      <c r="D64" s="699">
        <f>D14+11000</f>
        <v>31000.000000000004</v>
      </c>
      <c r="E64" s="702" t="s">
        <v>685</v>
      </c>
      <c r="F64" s="695"/>
      <c r="G64" s="695"/>
      <c r="H64" s="695"/>
      <c r="I64" s="695"/>
      <c r="J64" s="695"/>
      <c r="K64" s="696"/>
      <c r="L64" s="696"/>
      <c r="M64" s="696"/>
    </row>
    <row r="65" spans="2:24" ht="26">
      <c r="B65" s="262">
        <v>2.2000000000000002</v>
      </c>
      <c r="C65" s="701" t="s">
        <v>777</v>
      </c>
      <c r="D65" s="699">
        <f ca="1">-X21</f>
        <v>9705.7643802509538</v>
      </c>
      <c r="E65" s="702" t="s">
        <v>685</v>
      </c>
      <c r="F65" s="695"/>
      <c r="G65" s="695"/>
      <c r="H65" s="695"/>
      <c r="I65" s="695"/>
      <c r="J65" s="695"/>
      <c r="K65" s="696"/>
      <c r="L65" s="696"/>
      <c r="M65" s="696"/>
    </row>
    <row r="66" spans="2:24" ht="24">
      <c r="B66" s="259">
        <v>3</v>
      </c>
      <c r="C66" s="697" t="s">
        <v>780</v>
      </c>
      <c r="D66" s="700">
        <f ca="1">D63/D59</f>
        <v>6.818750143217156</v>
      </c>
      <c r="E66" s="702" t="s">
        <v>571</v>
      </c>
      <c r="F66" s="695"/>
      <c r="G66" s="695"/>
      <c r="H66" s="695"/>
      <c r="I66" s="695"/>
      <c r="J66" s="695"/>
      <c r="K66" s="696"/>
      <c r="L66" s="696"/>
      <c r="M66" s="696"/>
    </row>
    <row r="67" spans="2:24">
      <c r="B67" s="259">
        <v>4</v>
      </c>
      <c r="C67" s="697" t="s">
        <v>785</v>
      </c>
      <c r="D67" s="700">
        <f ca="1">5+D66</f>
        <v>11.818750143217155</v>
      </c>
      <c r="E67" s="702" t="s">
        <v>571</v>
      </c>
      <c r="F67" s="695"/>
      <c r="G67" s="695"/>
      <c r="H67" s="695"/>
      <c r="I67" s="695"/>
      <c r="J67" s="695"/>
      <c r="K67" s="696"/>
      <c r="L67" s="696"/>
      <c r="M67" s="696"/>
    </row>
    <row r="68" spans="2:24">
      <c r="B68" s="696"/>
      <c r="C68" s="695"/>
      <c r="D68" s="695"/>
      <c r="E68" s="695"/>
      <c r="F68" s="695"/>
      <c r="G68" s="695"/>
      <c r="H68" s="695"/>
      <c r="I68" s="695"/>
      <c r="J68" s="695"/>
      <c r="K68" s="696"/>
      <c r="L68" s="696"/>
      <c r="M68" s="696"/>
    </row>
    <row r="69" spans="2:24" ht="23">
      <c r="B69" s="790" t="s">
        <v>784</v>
      </c>
      <c r="C69" s="791"/>
      <c r="D69" s="791"/>
      <c r="E69" s="791"/>
      <c r="F69" s="791"/>
      <c r="G69" s="791"/>
      <c r="H69" s="791"/>
      <c r="I69" s="791"/>
      <c r="J69" s="791"/>
      <c r="K69" s="791"/>
      <c r="L69" s="791"/>
      <c r="M69" s="791"/>
      <c r="N69" s="791"/>
      <c r="O69" s="791"/>
      <c r="P69" s="791"/>
      <c r="Q69" s="791"/>
      <c r="R69" s="791"/>
      <c r="S69" s="791"/>
      <c r="T69" s="791"/>
      <c r="U69" s="791"/>
      <c r="V69" s="791"/>
      <c r="W69" s="791"/>
      <c r="X69" s="791"/>
    </row>
    <row r="70" spans="2:24" ht="23">
      <c r="B70" s="520" t="s">
        <v>324</v>
      </c>
      <c r="C70" s="520" t="s">
        <v>379</v>
      </c>
      <c r="D70" s="520" t="s">
        <v>497</v>
      </c>
      <c r="E70" s="520" t="s">
        <v>397</v>
      </c>
      <c r="F70" s="694"/>
      <c r="G70" s="694"/>
      <c r="H70" s="694"/>
      <c r="I70" s="694"/>
      <c r="J70" s="694"/>
      <c r="K70" s="694"/>
      <c r="L70" s="694"/>
      <c r="M70" s="694"/>
      <c r="N70" s="694"/>
      <c r="O70" s="694"/>
      <c r="P70" s="694"/>
      <c r="Q70" s="694"/>
      <c r="R70" s="694"/>
      <c r="S70" s="694"/>
      <c r="T70" s="694"/>
      <c r="U70" s="694"/>
      <c r="V70" s="694"/>
      <c r="W70" s="694"/>
      <c r="X70" s="694"/>
    </row>
    <row r="71" spans="2:24" ht="24">
      <c r="B71" s="259">
        <v>1</v>
      </c>
      <c r="C71" s="697" t="s">
        <v>778</v>
      </c>
      <c r="D71" s="259">
        <f ca="1">D59</f>
        <v>3122.8942507786646</v>
      </c>
      <c r="E71" s="702" t="s">
        <v>685</v>
      </c>
      <c r="F71" s="695"/>
      <c r="G71" s="695"/>
      <c r="H71" s="695"/>
      <c r="I71" s="695"/>
      <c r="J71" s="695"/>
      <c r="K71" s="696"/>
      <c r="L71" s="696"/>
      <c r="M71" s="696"/>
    </row>
    <row r="72" spans="2:24">
      <c r="B72" s="262">
        <v>1.1000000000000001</v>
      </c>
      <c r="C72" s="698" t="s">
        <v>773</v>
      </c>
      <c r="D72" s="259">
        <f t="shared" ref="D72:D74" si="7">D60</f>
        <v>1474.8863700949676</v>
      </c>
      <c r="E72" s="702" t="s">
        <v>685</v>
      </c>
      <c r="F72" s="695"/>
      <c r="G72" s="695"/>
      <c r="H72" s="695"/>
      <c r="I72" s="695"/>
      <c r="J72" s="695"/>
      <c r="K72" s="696"/>
      <c r="L72" s="696"/>
      <c r="M72" s="696"/>
    </row>
    <row r="73" spans="2:24">
      <c r="B73" s="262">
        <v>1.2</v>
      </c>
      <c r="C73" s="698" t="s">
        <v>774</v>
      </c>
      <c r="D73" s="259">
        <f t="shared" ca="1" si="7"/>
        <v>1248.0078806836971</v>
      </c>
      <c r="E73" s="702" t="s">
        <v>685</v>
      </c>
      <c r="F73" s="695"/>
      <c r="G73" s="695"/>
      <c r="H73" s="695"/>
      <c r="I73" s="695"/>
      <c r="J73" s="695"/>
      <c r="K73" s="696"/>
      <c r="L73" s="696"/>
      <c r="M73" s="696"/>
    </row>
    <row r="74" spans="2:24">
      <c r="B74" s="262">
        <v>1.3</v>
      </c>
      <c r="C74" s="698" t="s">
        <v>775</v>
      </c>
      <c r="D74" s="259">
        <f t="shared" si="7"/>
        <v>400</v>
      </c>
      <c r="E74" s="702" t="s">
        <v>685</v>
      </c>
      <c r="F74" s="695"/>
      <c r="G74" s="695"/>
      <c r="H74" s="695"/>
      <c r="I74" s="695"/>
      <c r="J74" s="695"/>
      <c r="K74" s="696"/>
      <c r="L74" s="696"/>
      <c r="M74" s="696"/>
    </row>
    <row r="75" spans="2:24" ht="24">
      <c r="B75" s="259">
        <v>2</v>
      </c>
      <c r="C75" s="697" t="s">
        <v>779</v>
      </c>
      <c r="D75" s="700">
        <f ca="1">D76-D77</f>
        <v>1294.2356197490462</v>
      </c>
      <c r="E75" s="702" t="s">
        <v>685</v>
      </c>
      <c r="F75" s="695"/>
      <c r="G75" s="695"/>
      <c r="H75" s="695"/>
      <c r="I75" s="695"/>
      <c r="J75" s="695"/>
      <c r="K75" s="696"/>
      <c r="L75" s="696"/>
      <c r="M75" s="696"/>
    </row>
    <row r="76" spans="2:24" ht="26">
      <c r="B76" s="262">
        <v>2.1</v>
      </c>
      <c r="C76" s="701" t="s">
        <v>776</v>
      </c>
      <c r="D76" s="699">
        <f>11000</f>
        <v>11000</v>
      </c>
      <c r="E76" s="702" t="s">
        <v>685</v>
      </c>
      <c r="F76" s="695"/>
      <c r="G76" s="695"/>
      <c r="H76" s="695"/>
      <c r="I76" s="695"/>
      <c r="J76" s="695"/>
      <c r="K76" s="696"/>
      <c r="L76" s="696"/>
      <c r="M76" s="696"/>
    </row>
    <row r="77" spans="2:24" ht="26">
      <c r="B77" s="262">
        <v>2.2000000000000002</v>
      </c>
      <c r="C77" s="701" t="s">
        <v>777</v>
      </c>
      <c r="D77" s="699">
        <f ca="1">-X21</f>
        <v>9705.7643802509538</v>
      </c>
      <c r="E77" s="702" t="s">
        <v>685</v>
      </c>
      <c r="F77" s="695"/>
      <c r="G77" s="695"/>
      <c r="H77" s="695"/>
      <c r="I77" s="695"/>
      <c r="J77" s="695"/>
      <c r="K77" s="696"/>
      <c r="L77" s="696"/>
      <c r="M77" s="696"/>
    </row>
    <row r="78" spans="2:24" ht="24">
      <c r="B78" s="259">
        <v>3</v>
      </c>
      <c r="C78" s="697" t="s">
        <v>780</v>
      </c>
      <c r="D78" s="700">
        <f ca="1">D75/D71</f>
        <v>0.41443466086830849</v>
      </c>
      <c r="E78" s="702" t="s">
        <v>571</v>
      </c>
      <c r="F78" s="695"/>
      <c r="G78" s="695"/>
      <c r="H78" s="695"/>
      <c r="I78" s="695"/>
      <c r="J78" s="695"/>
      <c r="K78" s="696"/>
      <c r="L78" s="696"/>
      <c r="M78" s="696"/>
    </row>
    <row r="79" spans="2:24">
      <c r="B79" s="259">
        <v>4</v>
      </c>
      <c r="C79" s="697" t="s">
        <v>785</v>
      </c>
      <c r="D79" s="700">
        <f ca="1">5+D78</f>
        <v>5.4144346608683085</v>
      </c>
      <c r="E79" s="702" t="s">
        <v>571</v>
      </c>
      <c r="F79" s="695"/>
      <c r="G79" s="695"/>
      <c r="H79" s="695"/>
      <c r="I79" s="695"/>
      <c r="J79" s="695"/>
      <c r="K79" s="696"/>
      <c r="L79" s="696"/>
      <c r="M79" s="696"/>
    </row>
  </sheetData>
  <mergeCells count="5">
    <mergeCell ref="B2:X2"/>
    <mergeCell ref="B32:X32"/>
    <mergeCell ref="B44:X44"/>
    <mergeCell ref="B57:X57"/>
    <mergeCell ref="B69:X69"/>
  </mergeCells>
  <phoneticPr fontId="27" type="noConversion"/>
  <hyperlinks>
    <hyperlink ref="B31" location="目录!A1" display="点击返回目录"/>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22</vt:i4>
      </vt:variant>
      <vt:variant>
        <vt:lpstr>命名范围</vt:lpstr>
      </vt:variant>
      <vt:variant>
        <vt:i4>21</vt:i4>
      </vt:variant>
    </vt:vector>
  </HeadingPairs>
  <TitlesOfParts>
    <vt:vector size="43" baseType="lpstr">
      <vt:lpstr>目录</vt:lpstr>
      <vt:lpstr>0基本假设 </vt:lpstr>
      <vt:lpstr>附表1 总投资估算表（汇总)</vt:lpstr>
      <vt:lpstr>附表1.1 总投资估算（明细）</vt:lpstr>
      <vt:lpstr>附表2 投资计划与资金筹措平衡表 </vt:lpstr>
      <vt:lpstr>附表3营业收入汇总表</vt:lpstr>
      <vt:lpstr>3.1销售情况分析</vt:lpstr>
      <vt:lpstr>3.2 营业收入汇总表</vt:lpstr>
      <vt:lpstr>附表4 税金及附加表</vt:lpstr>
      <vt:lpstr>附表5 运营成本汇总表</vt:lpstr>
      <vt:lpstr>5.1运营成本明细表</vt:lpstr>
      <vt:lpstr>附表6 资产折旧摊销表</vt:lpstr>
      <vt:lpstr>附表7 银行贷款还本付息表</vt:lpstr>
      <vt:lpstr>附表8 总成本估算表</vt:lpstr>
      <vt:lpstr>附表9利润表</vt:lpstr>
      <vt:lpstr>附表10 资金来源与运用表</vt:lpstr>
      <vt:lpstr>附表11 财务计划现金流量表</vt:lpstr>
      <vt:lpstr>附表12 项目全投资现金流量表</vt:lpstr>
      <vt:lpstr>附表13 项目资本金现金流量</vt:lpstr>
      <vt:lpstr>附表14 中信建设现金流量表（优先级）</vt:lpstr>
      <vt:lpstr>附表15中信金资现金流量表（中间级）</vt:lpstr>
      <vt:lpstr>附表16五江现金流量表（劣后级）</vt:lpstr>
      <vt:lpstr>'0基本假设 '!Print_Area</vt:lpstr>
      <vt:lpstr>'3.1销售情况分析'!Print_Area</vt:lpstr>
      <vt:lpstr>'5.1运营成本明细表'!Print_Area</vt:lpstr>
      <vt:lpstr>'附表1 总投资估算表（汇总)'!Print_Area</vt:lpstr>
      <vt:lpstr>'附表1.1 总投资估算（明细）'!Print_Area</vt:lpstr>
      <vt:lpstr>'附表10 资金来源与运用表'!Print_Area</vt:lpstr>
      <vt:lpstr>'附表11 财务计划现金流量表'!Print_Area</vt:lpstr>
      <vt:lpstr>'附表12 项目全投资现金流量表'!Print_Area</vt:lpstr>
      <vt:lpstr>'附表13 项目资本金现金流量'!Print_Area</vt:lpstr>
      <vt:lpstr>'附表14 中信建设现金流量表（优先级）'!Print_Area</vt:lpstr>
      <vt:lpstr>'附表15中信金资现金流量表（中间级）'!Print_Area</vt:lpstr>
      <vt:lpstr>'附表2 投资计划与资金筹措平衡表 '!Print_Area</vt:lpstr>
      <vt:lpstr>附表3营业收入汇总表!Print_Area</vt:lpstr>
      <vt:lpstr>'附表4 税金及附加表'!Print_Area</vt:lpstr>
      <vt:lpstr>'附表5 运营成本汇总表'!Print_Area</vt:lpstr>
      <vt:lpstr>'附表6 资产折旧摊销表'!Print_Area</vt:lpstr>
      <vt:lpstr>'附表7 银行贷款还本付息表'!Print_Area</vt:lpstr>
      <vt:lpstr>'附表8 总成本估算表'!Print_Area</vt:lpstr>
      <vt:lpstr>附表9利润表!Print_Area</vt:lpstr>
      <vt:lpstr>'附表4 税金及附加表'!Print_Titles</vt:lpstr>
      <vt:lpstr>中信金资现金流量表_中间级</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甘涛</dc:creator>
  <cp:lastModifiedBy>马时雨</cp:lastModifiedBy>
  <cp:lastPrinted>2020-10-23T01:24:00Z</cp:lastPrinted>
  <dcterms:created xsi:type="dcterms:W3CDTF">2017-10-06T01:00:00Z</dcterms:created>
  <dcterms:modified xsi:type="dcterms:W3CDTF">2024-07-15T06:35:13Z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EM_Doc_Temp_ID">
    <vt:lpwstr>b2b8b2cb</vt:lpwstr>
  </property>
  <property fmtid="{D5CDD505-2E9C-101B-9397-08002B2CF9AE}" pid="4" name="ICV">
    <vt:lpwstr>7D11691E5CF747698DB438121C5FC9C8</vt:lpwstr>
  </property>
  <property fmtid="{D5CDD505-2E9C-101B-9397-08002B2CF9AE}" pid="5" name="commondata">
    <vt:lpwstr>eyJoZGlkIjoiYTFkNGJjYjFiMWM1Y2IwYWIwYzEzYjc4ZmVhMWIzNjAifQ==</vt:lpwstr>
  </property>
</Properties>
</file>